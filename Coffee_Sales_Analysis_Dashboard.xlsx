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dministrator\Downloads\"/>
    </mc:Choice>
  </mc:AlternateContent>
  <xr:revisionPtr revIDLastSave="0" documentId="8_{E0ACEF2A-A89F-483C-B035-B4E532109C37}" xr6:coauthVersionLast="47" xr6:coauthVersionMax="47" xr10:uidLastSave="{00000000-0000-0000-0000-000000000000}"/>
  <bookViews>
    <workbookView xWindow="-120" yWindow="-120" windowWidth="20730" windowHeight="11160" firstSheet="3" activeTab="3" xr2:uid="{00000000-000D-0000-FFFF-FFFF00000000}"/>
  </bookViews>
  <sheets>
    <sheet name="Detail1" sheetId="20" state="hidden" r:id="rId1"/>
    <sheet name="Detail2" sheetId="21" state="hidden" r:id="rId2"/>
    <sheet name="Detail3" sheetId="23" state="hidden" r:id="rId3"/>
    <sheet name="Dashboard" sheetId="26" r:id="rId4"/>
    <sheet name="TotalSales" sheetId="18" r:id="rId5"/>
    <sheet name="CountryBar Chart" sheetId="24" r:id="rId6"/>
    <sheet name="Top5Customers" sheetId="25" r:id="rId7"/>
    <sheet name="orders" sheetId="17" r:id="rId8"/>
    <sheet name="customers" sheetId="13" r:id="rId9"/>
    <sheet name="products" sheetId="2" r:id="rId10"/>
  </sheets>
  <definedNames>
    <definedName name="_xlnm._FilterDatabase" localSheetId="7" hidden="1">orders!$A$1:$M$1001</definedName>
    <definedName name="_xlnm._FilterDatabase" localSheetId="9"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93" r:id="rId11"/>
  </pivotCaches>
  <fileRecoveryPr repairLoad="1"/>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7" l="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P1001" i="17"/>
  <c r="P2"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L2" i="17"/>
  <c r="M2" i="17" s="1"/>
  <c r="L3" i="17"/>
  <c r="L4" i="17"/>
  <c r="L5" i="17"/>
  <c r="L6" i="17"/>
  <c r="L7" i="17"/>
  <c r="M7" i="17" s="1"/>
  <c r="L8" i="17"/>
  <c r="M8" i="17" s="1"/>
  <c r="L9" i="17"/>
  <c r="M9" i="17" s="1"/>
  <c r="L10" i="17"/>
  <c r="M10" i="17" s="1"/>
  <c r="L11" i="17"/>
  <c r="L12" i="17"/>
  <c r="L13" i="17"/>
  <c r="L14" i="17"/>
  <c r="L15" i="17"/>
  <c r="M15" i="17" s="1"/>
  <c r="L16" i="17"/>
  <c r="M16" i="17" s="1"/>
  <c r="L17" i="17"/>
  <c r="L18" i="17"/>
  <c r="M18" i="17" s="1"/>
  <c r="L19" i="17"/>
  <c r="L20" i="17"/>
  <c r="L21" i="17"/>
  <c r="L22" i="17"/>
  <c r="L23" i="17"/>
  <c r="M23" i="17" s="1"/>
  <c r="L24" i="17"/>
  <c r="M24" i="17" s="1"/>
  <c r="L25" i="17"/>
  <c r="M25" i="17" s="1"/>
  <c r="L26" i="17"/>
  <c r="M26" i="17" s="1"/>
  <c r="L27" i="17"/>
  <c r="L28" i="17"/>
  <c r="L29" i="17"/>
  <c r="L30" i="17"/>
  <c r="M30" i="17" s="1"/>
  <c r="L31" i="17"/>
  <c r="M31" i="17" s="1"/>
  <c r="L32" i="17"/>
  <c r="L33" i="17"/>
  <c r="M33" i="17" s="1"/>
  <c r="L34" i="17"/>
  <c r="M34" i="17" s="1"/>
  <c r="L35" i="17"/>
  <c r="L36" i="17"/>
  <c r="L37" i="17"/>
  <c r="L38" i="17"/>
  <c r="L39" i="17"/>
  <c r="M39" i="17" s="1"/>
  <c r="L40" i="17"/>
  <c r="M40" i="17" s="1"/>
  <c r="L41" i="17"/>
  <c r="M41" i="17" s="1"/>
  <c r="L42" i="17"/>
  <c r="M42" i="17" s="1"/>
  <c r="L43" i="17"/>
  <c r="L44" i="17"/>
  <c r="L45" i="17"/>
  <c r="L46" i="17"/>
  <c r="L47" i="17"/>
  <c r="M47" i="17" s="1"/>
  <c r="L48" i="17"/>
  <c r="M48" i="17" s="1"/>
  <c r="L49" i="17"/>
  <c r="M49" i="17" s="1"/>
  <c r="L50" i="17"/>
  <c r="M50" i="17" s="1"/>
  <c r="L51" i="17"/>
  <c r="L52" i="17"/>
  <c r="L53" i="17"/>
  <c r="L54" i="17"/>
  <c r="L55" i="17"/>
  <c r="M55" i="17" s="1"/>
  <c r="L56" i="17"/>
  <c r="L57" i="17"/>
  <c r="M57" i="17" s="1"/>
  <c r="L58" i="17"/>
  <c r="M58" i="17" s="1"/>
  <c r="L59" i="17"/>
  <c r="L60" i="17"/>
  <c r="L61" i="17"/>
  <c r="L62" i="17"/>
  <c r="L63" i="17"/>
  <c r="M63" i="17" s="1"/>
  <c r="L64" i="17"/>
  <c r="M64" i="17" s="1"/>
  <c r="L65" i="17"/>
  <c r="M65" i="17" s="1"/>
  <c r="L66" i="17"/>
  <c r="M66" i="17" s="1"/>
  <c r="L67" i="17"/>
  <c r="L68" i="17"/>
  <c r="L69" i="17"/>
  <c r="L70" i="17"/>
  <c r="L71" i="17"/>
  <c r="M71" i="17" s="1"/>
  <c r="L72" i="17"/>
  <c r="M72" i="17" s="1"/>
  <c r="L73" i="17"/>
  <c r="L74" i="17"/>
  <c r="L75" i="17"/>
  <c r="L76" i="17"/>
  <c r="L77" i="17"/>
  <c r="L78" i="17"/>
  <c r="L79" i="17"/>
  <c r="L80" i="17"/>
  <c r="M80" i="17" s="1"/>
  <c r="L81" i="17"/>
  <c r="M81" i="17" s="1"/>
  <c r="L82" i="17"/>
  <c r="M82" i="17" s="1"/>
  <c r="L83" i="17"/>
  <c r="L84" i="17"/>
  <c r="L85" i="17"/>
  <c r="L86" i="17"/>
  <c r="L87" i="17"/>
  <c r="M87" i="17" s="1"/>
  <c r="L88" i="17"/>
  <c r="M88" i="17" s="1"/>
  <c r="L89" i="17"/>
  <c r="M89" i="17" s="1"/>
  <c r="L90" i="17"/>
  <c r="M90" i="17" s="1"/>
  <c r="L91" i="17"/>
  <c r="L92" i="17"/>
  <c r="L93" i="17"/>
  <c r="L94" i="17"/>
  <c r="L95" i="17"/>
  <c r="M95" i="17" s="1"/>
  <c r="L96" i="17"/>
  <c r="M96" i="17" s="1"/>
  <c r="L97" i="17"/>
  <c r="M97" i="17" s="1"/>
  <c r="L98" i="17"/>
  <c r="L99" i="17"/>
  <c r="L100" i="17"/>
  <c r="L101" i="17"/>
  <c r="L102" i="17"/>
  <c r="M102" i="17" s="1"/>
  <c r="L103" i="17"/>
  <c r="M103" i="17" s="1"/>
  <c r="L104" i="17"/>
  <c r="M104" i="17" s="1"/>
  <c r="L105" i="17"/>
  <c r="M105" i="17" s="1"/>
  <c r="L106" i="17"/>
  <c r="M106" i="17" s="1"/>
  <c r="L107" i="17"/>
  <c r="L108" i="17"/>
  <c r="L109" i="17"/>
  <c r="L110" i="17"/>
  <c r="L111" i="17"/>
  <c r="M111" i="17" s="1"/>
  <c r="L112" i="17"/>
  <c r="M112" i="17" s="1"/>
  <c r="L113" i="17"/>
  <c r="M113" i="17" s="1"/>
  <c r="L114" i="17"/>
  <c r="M114" i="17" s="1"/>
  <c r="L115" i="17"/>
  <c r="L116" i="17"/>
  <c r="L117" i="17"/>
  <c r="L118" i="17"/>
  <c r="L119" i="17"/>
  <c r="M119" i="17" s="1"/>
  <c r="L120" i="17"/>
  <c r="M120" i="17" s="1"/>
  <c r="L121" i="17"/>
  <c r="M121" i="17" s="1"/>
  <c r="L122" i="17"/>
  <c r="M122" i="17" s="1"/>
  <c r="L123" i="17"/>
  <c r="L124" i="17"/>
  <c r="L125" i="17"/>
  <c r="L126" i="17"/>
  <c r="L127" i="17"/>
  <c r="M127" i="17" s="1"/>
  <c r="L128" i="17"/>
  <c r="M128" i="17" s="1"/>
  <c r="L129" i="17"/>
  <c r="L130" i="17"/>
  <c r="M130" i="17" s="1"/>
  <c r="L131" i="17"/>
  <c r="L132" i="17"/>
  <c r="L133" i="17"/>
  <c r="L134" i="17"/>
  <c r="L135" i="17"/>
  <c r="M135" i="17" s="1"/>
  <c r="L136" i="17"/>
  <c r="M136" i="17" s="1"/>
  <c r="L137" i="17"/>
  <c r="M137" i="17" s="1"/>
  <c r="L138" i="17"/>
  <c r="M138" i="17" s="1"/>
  <c r="L139" i="17"/>
  <c r="L140" i="17"/>
  <c r="L141" i="17"/>
  <c r="L142" i="17"/>
  <c r="M142" i="17" s="1"/>
  <c r="L143" i="17"/>
  <c r="M143" i="17" s="1"/>
  <c r="L144" i="17"/>
  <c r="L145" i="17"/>
  <c r="M145" i="17" s="1"/>
  <c r="L146" i="17"/>
  <c r="M146" i="17" s="1"/>
  <c r="L147" i="17"/>
  <c r="L148" i="17"/>
  <c r="L149" i="17"/>
  <c r="L150" i="17"/>
  <c r="L151" i="17"/>
  <c r="M151" i="17" s="1"/>
  <c r="L152" i="17"/>
  <c r="M152" i="17" s="1"/>
  <c r="L153" i="17"/>
  <c r="M153" i="17" s="1"/>
  <c r="L154" i="17"/>
  <c r="L155" i="17"/>
  <c r="L156" i="17"/>
  <c r="L157" i="17"/>
  <c r="L158" i="17"/>
  <c r="L159" i="17"/>
  <c r="M159" i="17" s="1"/>
  <c r="L160" i="17"/>
  <c r="M160" i="17" s="1"/>
  <c r="L161" i="17"/>
  <c r="M161" i="17" s="1"/>
  <c r="L162" i="17"/>
  <c r="M162" i="17" s="1"/>
  <c r="L163" i="17"/>
  <c r="L164" i="17"/>
  <c r="L165" i="17"/>
  <c r="L166" i="17"/>
  <c r="L167" i="17"/>
  <c r="M167" i="17" s="1"/>
  <c r="L168" i="17"/>
  <c r="L169" i="17"/>
  <c r="M169" i="17" s="1"/>
  <c r="L170" i="17"/>
  <c r="M170" i="17" s="1"/>
  <c r="L171" i="17"/>
  <c r="L172" i="17"/>
  <c r="L173" i="17"/>
  <c r="L174" i="17"/>
  <c r="L175" i="17"/>
  <c r="M175" i="17" s="1"/>
  <c r="L176" i="17"/>
  <c r="M176" i="17" s="1"/>
  <c r="L177" i="17"/>
  <c r="M177" i="17" s="1"/>
  <c r="L178" i="17"/>
  <c r="L179" i="17"/>
  <c r="L180" i="17"/>
  <c r="L181" i="17"/>
  <c r="L182" i="17"/>
  <c r="L183" i="17"/>
  <c r="M183" i="17" s="1"/>
  <c r="L184" i="17"/>
  <c r="M184" i="17" s="1"/>
  <c r="L185" i="17"/>
  <c r="M185" i="17" s="1"/>
  <c r="L186" i="17"/>
  <c r="M186" i="17" s="1"/>
  <c r="L187" i="17"/>
  <c r="L188" i="17"/>
  <c r="L189" i="17"/>
  <c r="L190" i="17"/>
  <c r="L191" i="17"/>
  <c r="L192" i="17"/>
  <c r="M192" i="17" s="1"/>
  <c r="L193" i="17"/>
  <c r="M193" i="17" s="1"/>
  <c r="L194" i="17"/>
  <c r="M194" i="17" s="1"/>
  <c r="L195" i="17"/>
  <c r="L196" i="17"/>
  <c r="L197" i="17"/>
  <c r="L198" i="17"/>
  <c r="L199" i="17"/>
  <c r="M199" i="17" s="1"/>
  <c r="L200" i="17"/>
  <c r="M200" i="17" s="1"/>
  <c r="L201" i="17"/>
  <c r="L202" i="17"/>
  <c r="M202" i="17" s="1"/>
  <c r="L203" i="17"/>
  <c r="L204" i="17"/>
  <c r="L205" i="17"/>
  <c r="L206" i="17"/>
  <c r="L207" i="17"/>
  <c r="M207" i="17" s="1"/>
  <c r="L208" i="17"/>
  <c r="M208" i="17" s="1"/>
  <c r="L209" i="17"/>
  <c r="M209" i="17" s="1"/>
  <c r="L210" i="17"/>
  <c r="M210" i="17" s="1"/>
  <c r="L211" i="17"/>
  <c r="L212" i="17"/>
  <c r="L213" i="17"/>
  <c r="L214" i="17"/>
  <c r="L215" i="17"/>
  <c r="M215" i="17" s="1"/>
  <c r="L216" i="17"/>
  <c r="M216" i="17" s="1"/>
  <c r="L217" i="17"/>
  <c r="M217" i="17" s="1"/>
  <c r="L218" i="17"/>
  <c r="M218" i="17" s="1"/>
  <c r="L219" i="17"/>
  <c r="L220" i="17"/>
  <c r="L221" i="17"/>
  <c r="L222" i="17"/>
  <c r="L223" i="17"/>
  <c r="M223" i="17" s="1"/>
  <c r="L224" i="17"/>
  <c r="M224" i="17" s="1"/>
  <c r="L225" i="17"/>
  <c r="M225" i="17" s="1"/>
  <c r="L226" i="17"/>
  <c r="L227" i="17"/>
  <c r="L228" i="17"/>
  <c r="L229" i="17"/>
  <c r="L230" i="17"/>
  <c r="M230" i="17" s="1"/>
  <c r="L231" i="17"/>
  <c r="L232" i="17"/>
  <c r="M232" i="17" s="1"/>
  <c r="L233" i="17"/>
  <c r="M233" i="17" s="1"/>
  <c r="L234" i="17"/>
  <c r="M234" i="17" s="1"/>
  <c r="L235" i="17"/>
  <c r="L236" i="17"/>
  <c r="L237" i="17"/>
  <c r="L238" i="17"/>
  <c r="L239" i="17"/>
  <c r="M239" i="17" s="1"/>
  <c r="L240" i="17"/>
  <c r="M240" i="17" s="1"/>
  <c r="L241" i="17"/>
  <c r="M241" i="17" s="1"/>
  <c r="L242" i="17"/>
  <c r="M242" i="17" s="1"/>
  <c r="L243" i="17"/>
  <c r="L244" i="17"/>
  <c r="L245" i="17"/>
  <c r="L246" i="17"/>
  <c r="L247" i="17"/>
  <c r="M247" i="17" s="1"/>
  <c r="L248" i="17"/>
  <c r="M248" i="17" s="1"/>
  <c r="L249" i="17"/>
  <c r="M249" i="17" s="1"/>
  <c r="L250" i="17"/>
  <c r="M250" i="17" s="1"/>
  <c r="L251" i="17"/>
  <c r="L252" i="17"/>
  <c r="L253" i="17"/>
  <c r="L254" i="17"/>
  <c r="L255" i="17"/>
  <c r="M255" i="17" s="1"/>
  <c r="L256" i="17"/>
  <c r="M256" i="17" s="1"/>
  <c r="L257" i="17"/>
  <c r="M257" i="17" s="1"/>
  <c r="L258" i="17"/>
  <c r="M258" i="17" s="1"/>
  <c r="L259" i="17"/>
  <c r="L260" i="17"/>
  <c r="L261" i="17"/>
  <c r="L262" i="17"/>
  <c r="L263" i="17"/>
  <c r="M263" i="17" s="1"/>
  <c r="L264" i="17"/>
  <c r="M264" i="17" s="1"/>
  <c r="L265" i="17"/>
  <c r="M265" i="17" s="1"/>
  <c r="L266" i="17"/>
  <c r="M266" i="17" s="1"/>
  <c r="L267" i="17"/>
  <c r="L268" i="17"/>
  <c r="L269" i="17"/>
  <c r="L270" i="17"/>
  <c r="L271" i="17"/>
  <c r="M271" i="17" s="1"/>
  <c r="L272" i="17"/>
  <c r="M272" i="17" s="1"/>
  <c r="L273" i="17"/>
  <c r="M273" i="17" s="1"/>
  <c r="L274" i="17"/>
  <c r="M274" i="17" s="1"/>
  <c r="L275" i="17"/>
  <c r="L276" i="17"/>
  <c r="L277" i="17"/>
  <c r="L278" i="17"/>
  <c r="L279" i="17"/>
  <c r="M279" i="17" s="1"/>
  <c r="L280" i="17"/>
  <c r="M280" i="17" s="1"/>
  <c r="L281" i="17"/>
  <c r="M281" i="17" s="1"/>
  <c r="L282" i="17"/>
  <c r="M282" i="17" s="1"/>
  <c r="L283" i="17"/>
  <c r="L284" i="17"/>
  <c r="L285" i="17"/>
  <c r="L286" i="17"/>
  <c r="L287" i="17"/>
  <c r="M287" i="17" s="1"/>
  <c r="L288" i="17"/>
  <c r="M288" i="17" s="1"/>
  <c r="L289" i="17"/>
  <c r="L290" i="17"/>
  <c r="M290" i="17" s="1"/>
  <c r="L291" i="17"/>
  <c r="L292" i="17"/>
  <c r="L293" i="17"/>
  <c r="L294" i="17"/>
  <c r="L295" i="17"/>
  <c r="L296" i="17"/>
  <c r="M296" i="17" s="1"/>
  <c r="L297" i="17"/>
  <c r="M297" i="17" s="1"/>
  <c r="L298" i="17"/>
  <c r="M298" i="17" s="1"/>
  <c r="L299" i="17"/>
  <c r="L300" i="17"/>
  <c r="L301" i="17"/>
  <c r="L302" i="17"/>
  <c r="L303" i="17"/>
  <c r="M303" i="17" s="1"/>
  <c r="L304" i="17"/>
  <c r="M304" i="17" s="1"/>
  <c r="L305" i="17"/>
  <c r="M305" i="17" s="1"/>
  <c r="L306" i="17"/>
  <c r="M306" i="17" s="1"/>
  <c r="L307" i="17"/>
  <c r="L308" i="17"/>
  <c r="L309" i="17"/>
  <c r="L310" i="17"/>
  <c r="L311" i="17"/>
  <c r="L312" i="17"/>
  <c r="L313" i="17"/>
  <c r="M313" i="17" s="1"/>
  <c r="L314" i="17"/>
  <c r="M314" i="17" s="1"/>
  <c r="L315" i="17"/>
  <c r="L316" i="17"/>
  <c r="L317" i="17"/>
  <c r="L318" i="17"/>
  <c r="L319" i="17"/>
  <c r="M319" i="17" s="1"/>
  <c r="L320" i="17"/>
  <c r="M320" i="17" s="1"/>
  <c r="L321" i="17"/>
  <c r="M321" i="17" s="1"/>
  <c r="L322" i="17"/>
  <c r="M322" i="17" s="1"/>
  <c r="L323" i="17"/>
  <c r="L324" i="17"/>
  <c r="L325" i="17"/>
  <c r="L326" i="17"/>
  <c r="L327" i="17"/>
  <c r="M327" i="17" s="1"/>
  <c r="L328" i="17"/>
  <c r="M328" i="17" s="1"/>
  <c r="L329" i="17"/>
  <c r="M329" i="17" s="1"/>
  <c r="L330" i="17"/>
  <c r="M330" i="17" s="1"/>
  <c r="L331" i="17"/>
  <c r="L332" i="17"/>
  <c r="L333" i="17"/>
  <c r="L334" i="17"/>
  <c r="M334" i="17" s="1"/>
  <c r="L335" i="17"/>
  <c r="M335" i="17" s="1"/>
  <c r="L336" i="17"/>
  <c r="M336" i="17" s="1"/>
  <c r="L337" i="17"/>
  <c r="M337" i="17" s="1"/>
  <c r="L338" i="17"/>
  <c r="M338" i="17" s="1"/>
  <c r="L339" i="17"/>
  <c r="L340" i="17"/>
  <c r="L341" i="17"/>
  <c r="L342" i="17"/>
  <c r="L343" i="17"/>
  <c r="M343" i="17" s="1"/>
  <c r="L344" i="17"/>
  <c r="M344" i="17" s="1"/>
  <c r="L345" i="17"/>
  <c r="M345" i="17" s="1"/>
  <c r="L346" i="17"/>
  <c r="M346" i="17" s="1"/>
  <c r="L347" i="17"/>
  <c r="L348" i="17"/>
  <c r="L349" i="17"/>
  <c r="L350" i="17"/>
  <c r="L351" i="17"/>
  <c r="L352" i="17"/>
  <c r="M352" i="17" s="1"/>
  <c r="L353" i="17"/>
  <c r="M353" i="17" s="1"/>
  <c r="L354" i="17"/>
  <c r="L355" i="17"/>
  <c r="L356" i="17"/>
  <c r="L357" i="17"/>
  <c r="L358" i="17"/>
  <c r="L359" i="17"/>
  <c r="M359" i="17" s="1"/>
  <c r="L360" i="17"/>
  <c r="M360" i="17" s="1"/>
  <c r="L361" i="17"/>
  <c r="L362" i="17"/>
  <c r="M362" i="17" s="1"/>
  <c r="L363" i="17"/>
  <c r="L364" i="17"/>
  <c r="L365" i="17"/>
  <c r="L366" i="17"/>
  <c r="L367" i="17"/>
  <c r="M367" i="17" s="1"/>
  <c r="L368" i="17"/>
  <c r="M368" i="17" s="1"/>
  <c r="L369" i="17"/>
  <c r="M369" i="17" s="1"/>
  <c r="L370" i="17"/>
  <c r="M370" i="17" s="1"/>
  <c r="L371" i="17"/>
  <c r="L372" i="17"/>
  <c r="L373" i="17"/>
  <c r="L374" i="17"/>
  <c r="L375" i="17"/>
  <c r="M375" i="17" s="1"/>
  <c r="L376" i="17"/>
  <c r="M376" i="17" s="1"/>
  <c r="L377" i="17"/>
  <c r="L378" i="17"/>
  <c r="M378" i="17" s="1"/>
  <c r="L379" i="17"/>
  <c r="L380" i="17"/>
  <c r="L381" i="17"/>
  <c r="L382" i="17"/>
  <c r="L383" i="17"/>
  <c r="M383" i="17" s="1"/>
  <c r="L384" i="17"/>
  <c r="M384" i="17" s="1"/>
  <c r="L385" i="17"/>
  <c r="M385" i="17" s="1"/>
  <c r="L386" i="17"/>
  <c r="M386" i="17" s="1"/>
  <c r="L387" i="17"/>
  <c r="L388" i="17"/>
  <c r="M388" i="17" s="1"/>
  <c r="L389" i="17"/>
  <c r="L390" i="17"/>
  <c r="L391" i="17"/>
  <c r="M391" i="17" s="1"/>
  <c r="L392" i="17"/>
  <c r="M392" i="17" s="1"/>
  <c r="L393" i="17"/>
  <c r="M393" i="17" s="1"/>
  <c r="L394" i="17"/>
  <c r="M394" i="17" s="1"/>
  <c r="L395" i="17"/>
  <c r="L396" i="17"/>
  <c r="L397" i="17"/>
  <c r="L398" i="17"/>
  <c r="L399" i="17"/>
  <c r="M399" i="17" s="1"/>
  <c r="L400" i="17"/>
  <c r="M400" i="17" s="1"/>
  <c r="L401" i="17"/>
  <c r="M401" i="17" s="1"/>
  <c r="L402" i="17"/>
  <c r="M402" i="17" s="1"/>
  <c r="L403" i="17"/>
  <c r="L404" i="17"/>
  <c r="L405" i="17"/>
  <c r="L406" i="17"/>
  <c r="L407" i="17"/>
  <c r="M407" i="17" s="1"/>
  <c r="L408" i="17"/>
  <c r="M408" i="17" s="1"/>
  <c r="L409" i="17"/>
  <c r="M409" i="17" s="1"/>
  <c r="L410" i="17"/>
  <c r="L411" i="17"/>
  <c r="L412" i="17"/>
  <c r="L413" i="17"/>
  <c r="L414" i="17"/>
  <c r="L415" i="17"/>
  <c r="M415" i="17" s="1"/>
  <c r="L416" i="17"/>
  <c r="M416" i="17" s="1"/>
  <c r="L417" i="17"/>
  <c r="M417" i="17" s="1"/>
  <c r="L418" i="17"/>
  <c r="M418" i="17" s="1"/>
  <c r="L419" i="17"/>
  <c r="L420" i="17"/>
  <c r="L421" i="17"/>
  <c r="L422" i="17"/>
  <c r="L423" i="17"/>
  <c r="M423" i="17" s="1"/>
  <c r="L424" i="17"/>
  <c r="M424" i="17" s="1"/>
  <c r="L425" i="17"/>
  <c r="M425" i="17" s="1"/>
  <c r="L426" i="17"/>
  <c r="M426" i="17" s="1"/>
  <c r="L427" i="17"/>
  <c r="L428" i="17"/>
  <c r="L429" i="17"/>
  <c r="L430" i="17"/>
  <c r="L431" i="17"/>
  <c r="M431" i="17" s="1"/>
  <c r="L432" i="17"/>
  <c r="M432" i="17" s="1"/>
  <c r="L433" i="17"/>
  <c r="M433" i="17" s="1"/>
  <c r="L434" i="17"/>
  <c r="M434" i="17" s="1"/>
  <c r="L435" i="17"/>
  <c r="L436" i="17"/>
  <c r="L437" i="17"/>
  <c r="L438" i="17"/>
  <c r="L439" i="17"/>
  <c r="M439" i="17" s="1"/>
  <c r="L440" i="17"/>
  <c r="M440" i="17" s="1"/>
  <c r="L441" i="17"/>
  <c r="M441" i="17" s="1"/>
  <c r="L442" i="17"/>
  <c r="M442" i="17" s="1"/>
  <c r="L443" i="17"/>
  <c r="L444" i="17"/>
  <c r="L445" i="17"/>
  <c r="L446" i="17"/>
  <c r="L447" i="17"/>
  <c r="M447" i="17" s="1"/>
  <c r="L448" i="17"/>
  <c r="M448" i="17" s="1"/>
  <c r="L449" i="17"/>
  <c r="L450" i="17"/>
  <c r="M450" i="17" s="1"/>
  <c r="L451" i="17"/>
  <c r="L452" i="17"/>
  <c r="L453" i="17"/>
  <c r="L454" i="17"/>
  <c r="L455" i="17"/>
  <c r="M455" i="17" s="1"/>
  <c r="L456" i="17"/>
  <c r="M456" i="17" s="1"/>
  <c r="L457" i="17"/>
  <c r="M457" i="17" s="1"/>
  <c r="L458" i="17"/>
  <c r="M458" i="17" s="1"/>
  <c r="L459" i="17"/>
  <c r="L460" i="17"/>
  <c r="L461" i="17"/>
  <c r="L462" i="17"/>
  <c r="L463" i="17"/>
  <c r="M463" i="17" s="1"/>
  <c r="L464" i="17"/>
  <c r="L465" i="17"/>
  <c r="L466" i="17"/>
  <c r="M466" i="17" s="1"/>
  <c r="L467" i="17"/>
  <c r="L468" i="17"/>
  <c r="L469" i="17"/>
  <c r="L470" i="17"/>
  <c r="L471" i="17"/>
  <c r="M471" i="17" s="1"/>
  <c r="L472" i="17"/>
  <c r="M472" i="17" s="1"/>
  <c r="L473" i="17"/>
  <c r="M473" i="17" s="1"/>
  <c r="L474" i="17"/>
  <c r="M474" i="17" s="1"/>
  <c r="L475" i="17"/>
  <c r="L476" i="17"/>
  <c r="M476" i="17" s="1"/>
  <c r="L477" i="17"/>
  <c r="L478" i="17"/>
  <c r="L479" i="17"/>
  <c r="M479" i="17" s="1"/>
  <c r="L480" i="17"/>
  <c r="L481" i="17"/>
  <c r="M481" i="17" s="1"/>
  <c r="L482" i="17"/>
  <c r="M482" i="17" s="1"/>
  <c r="L483" i="17"/>
  <c r="L484" i="17"/>
  <c r="L485" i="17"/>
  <c r="L486" i="17"/>
  <c r="L487" i="17"/>
  <c r="L488" i="17"/>
  <c r="M488" i="17" s="1"/>
  <c r="L489" i="17"/>
  <c r="M489" i="17" s="1"/>
  <c r="L490" i="17"/>
  <c r="M490" i="17" s="1"/>
  <c r="L491" i="17"/>
  <c r="L492" i="17"/>
  <c r="L493" i="17"/>
  <c r="L494" i="17"/>
  <c r="L495" i="17"/>
  <c r="M495" i="17" s="1"/>
  <c r="L496" i="17"/>
  <c r="M496" i="17" s="1"/>
  <c r="L497" i="17"/>
  <c r="M497" i="17" s="1"/>
  <c r="L498" i="17"/>
  <c r="M498" i="17" s="1"/>
  <c r="L499" i="17"/>
  <c r="L500" i="17"/>
  <c r="L501" i="17"/>
  <c r="L502" i="17"/>
  <c r="L503" i="17"/>
  <c r="M503" i="17" s="1"/>
  <c r="L504" i="17"/>
  <c r="M504" i="17" s="1"/>
  <c r="L505" i="17"/>
  <c r="M505" i="17" s="1"/>
  <c r="L506" i="17"/>
  <c r="M506" i="17" s="1"/>
  <c r="L507" i="17"/>
  <c r="L508" i="17"/>
  <c r="L509" i="17"/>
  <c r="L510" i="17"/>
  <c r="L511" i="17"/>
  <c r="L512" i="17"/>
  <c r="M512" i="17" s="1"/>
  <c r="L513" i="17"/>
  <c r="M513" i="17" s="1"/>
  <c r="L514" i="17"/>
  <c r="M514" i="17" s="1"/>
  <c r="L515" i="17"/>
  <c r="L516" i="17"/>
  <c r="L517" i="17"/>
  <c r="L518" i="17"/>
  <c r="L519" i="17"/>
  <c r="M519" i="17" s="1"/>
  <c r="L520" i="17"/>
  <c r="M520" i="17" s="1"/>
  <c r="L521" i="17"/>
  <c r="M521" i="17" s="1"/>
  <c r="L522" i="17"/>
  <c r="M522" i="17" s="1"/>
  <c r="L523" i="17"/>
  <c r="L524" i="17"/>
  <c r="L525" i="17"/>
  <c r="L526" i="17"/>
  <c r="L527" i="17"/>
  <c r="M527" i="17" s="1"/>
  <c r="L528" i="17"/>
  <c r="M528" i="17" s="1"/>
  <c r="L529" i="17"/>
  <c r="M529" i="17" s="1"/>
  <c r="L530" i="17"/>
  <c r="M530" i="17" s="1"/>
  <c r="L531" i="17"/>
  <c r="L532" i="17"/>
  <c r="L533" i="17"/>
  <c r="L534" i="17"/>
  <c r="L535" i="17"/>
  <c r="L536" i="17"/>
  <c r="M536" i="17" s="1"/>
  <c r="L537" i="17"/>
  <c r="L538" i="17"/>
  <c r="M538" i="17" s="1"/>
  <c r="L539" i="17"/>
  <c r="L540" i="17"/>
  <c r="L541" i="17"/>
  <c r="L542" i="17"/>
  <c r="L543" i="17"/>
  <c r="M543" i="17" s="1"/>
  <c r="L544" i="17"/>
  <c r="M544" i="17" s="1"/>
  <c r="L545" i="17"/>
  <c r="M545" i="17" s="1"/>
  <c r="L546" i="17"/>
  <c r="L547" i="17"/>
  <c r="L548" i="17"/>
  <c r="L549" i="17"/>
  <c r="L550" i="17"/>
  <c r="L551" i="17"/>
  <c r="M551" i="17" s="1"/>
  <c r="L552" i="17"/>
  <c r="M552" i="17" s="1"/>
  <c r="L553" i="17"/>
  <c r="M553" i="17" s="1"/>
  <c r="L554" i="17"/>
  <c r="M554" i="17" s="1"/>
  <c r="L555" i="17"/>
  <c r="L556" i="17"/>
  <c r="L557" i="17"/>
  <c r="L558" i="17"/>
  <c r="L559" i="17"/>
  <c r="M559" i="17" s="1"/>
  <c r="L560" i="17"/>
  <c r="M560" i="17" s="1"/>
  <c r="L561" i="17"/>
  <c r="M561" i="17" s="1"/>
  <c r="L562" i="17"/>
  <c r="M562" i="17" s="1"/>
  <c r="L563" i="17"/>
  <c r="L564" i="17"/>
  <c r="L565" i="17"/>
  <c r="L566" i="17"/>
  <c r="L567" i="17"/>
  <c r="M567" i="17" s="1"/>
  <c r="L568" i="17"/>
  <c r="M568" i="17" s="1"/>
  <c r="L569" i="17"/>
  <c r="M569" i="17" s="1"/>
  <c r="L570" i="17"/>
  <c r="M570" i="17" s="1"/>
  <c r="L571" i="17"/>
  <c r="L572" i="17"/>
  <c r="M572" i="17" s="1"/>
  <c r="L573" i="17"/>
  <c r="L574" i="17"/>
  <c r="L575" i="17"/>
  <c r="M575" i="17" s="1"/>
  <c r="L576" i="17"/>
  <c r="M576" i="17" s="1"/>
  <c r="L577" i="17"/>
  <c r="M577" i="17" s="1"/>
  <c r="L578" i="17"/>
  <c r="M578" i="17" s="1"/>
  <c r="L579" i="17"/>
  <c r="L580" i="17"/>
  <c r="L581" i="17"/>
  <c r="L582" i="17"/>
  <c r="L583" i="17"/>
  <c r="M583" i="17" s="1"/>
  <c r="L584" i="17"/>
  <c r="M584" i="17" s="1"/>
  <c r="L585" i="17"/>
  <c r="M585" i="17" s="1"/>
  <c r="L586" i="17"/>
  <c r="M586" i="17" s="1"/>
  <c r="L587" i="17"/>
  <c r="L588" i="17"/>
  <c r="L589" i="17"/>
  <c r="L590" i="17"/>
  <c r="L591" i="17"/>
  <c r="M591" i="17" s="1"/>
  <c r="L592" i="17"/>
  <c r="M592" i="17" s="1"/>
  <c r="L593" i="17"/>
  <c r="M593" i="17" s="1"/>
  <c r="L594" i="17"/>
  <c r="M594" i="17" s="1"/>
  <c r="L595" i="17"/>
  <c r="L596" i="17"/>
  <c r="L597" i="17"/>
  <c r="L598" i="17"/>
  <c r="L599" i="17"/>
  <c r="M599" i="17" s="1"/>
  <c r="L600" i="17"/>
  <c r="M600" i="17" s="1"/>
  <c r="L601" i="17"/>
  <c r="M601" i="17" s="1"/>
  <c r="L602" i="17"/>
  <c r="L603" i="17"/>
  <c r="L604" i="17"/>
  <c r="L605" i="17"/>
  <c r="L606" i="17"/>
  <c r="L607" i="17"/>
  <c r="M607" i="17" s="1"/>
  <c r="L608" i="17"/>
  <c r="M608" i="17" s="1"/>
  <c r="L609" i="17"/>
  <c r="M609" i="17" s="1"/>
  <c r="L610" i="17"/>
  <c r="M610" i="17" s="1"/>
  <c r="L611" i="17"/>
  <c r="L612" i="17"/>
  <c r="M612" i="17" s="1"/>
  <c r="L613" i="17"/>
  <c r="L614" i="17"/>
  <c r="L615" i="17"/>
  <c r="M615" i="17" s="1"/>
  <c r="L616" i="17"/>
  <c r="M616" i="17" s="1"/>
  <c r="L617" i="17"/>
  <c r="M617" i="17" s="1"/>
  <c r="L618" i="17"/>
  <c r="M618" i="17" s="1"/>
  <c r="L619" i="17"/>
  <c r="L620" i="17"/>
  <c r="L621" i="17"/>
  <c r="L622" i="17"/>
  <c r="L623" i="17"/>
  <c r="L624" i="17"/>
  <c r="M624" i="17" s="1"/>
  <c r="L625" i="17"/>
  <c r="M625" i="17" s="1"/>
  <c r="L626" i="17"/>
  <c r="M626" i="17" s="1"/>
  <c r="L627" i="17"/>
  <c r="L628" i="17"/>
  <c r="L629" i="17"/>
  <c r="L630" i="17"/>
  <c r="L631" i="17"/>
  <c r="M631" i="17" s="1"/>
  <c r="L632" i="17"/>
  <c r="M632" i="17" s="1"/>
  <c r="L633" i="17"/>
  <c r="M633" i="17" s="1"/>
  <c r="L634" i="17"/>
  <c r="M634" i="17" s="1"/>
  <c r="L635" i="17"/>
  <c r="L636" i="17"/>
  <c r="L637" i="17"/>
  <c r="L638" i="17"/>
  <c r="L639" i="17"/>
  <c r="M639" i="17" s="1"/>
  <c r="L640" i="17"/>
  <c r="M640" i="17" s="1"/>
  <c r="L641" i="17"/>
  <c r="M641" i="17" s="1"/>
  <c r="L642" i="17"/>
  <c r="M642" i="17" s="1"/>
  <c r="L643" i="17"/>
  <c r="L644" i="17"/>
  <c r="L645" i="17"/>
  <c r="L646" i="17"/>
  <c r="L647" i="17"/>
  <c r="L648" i="17"/>
  <c r="M648" i="17" s="1"/>
  <c r="L649" i="17"/>
  <c r="M649" i="17" s="1"/>
  <c r="L650" i="17"/>
  <c r="M650" i="17" s="1"/>
  <c r="L651" i="17"/>
  <c r="L652" i="17"/>
  <c r="L653" i="17"/>
  <c r="L654" i="17"/>
  <c r="L655" i="17"/>
  <c r="L656" i="17"/>
  <c r="M656" i="17" s="1"/>
  <c r="L657" i="17"/>
  <c r="M657" i="17" s="1"/>
  <c r="L658" i="17"/>
  <c r="M658" i="17" s="1"/>
  <c r="L659" i="17"/>
  <c r="L660" i="17"/>
  <c r="L661" i="17"/>
  <c r="L662" i="17"/>
  <c r="L663" i="17"/>
  <c r="M663" i="17" s="1"/>
  <c r="L664" i="17"/>
  <c r="M664" i="17" s="1"/>
  <c r="L665" i="17"/>
  <c r="M665" i="17" s="1"/>
  <c r="L666" i="17"/>
  <c r="M666" i="17" s="1"/>
  <c r="L667" i="17"/>
  <c r="L668" i="17"/>
  <c r="L669" i="17"/>
  <c r="L670" i="17"/>
  <c r="L671" i="17"/>
  <c r="M671" i="17" s="1"/>
  <c r="L672" i="17"/>
  <c r="M672" i="17" s="1"/>
  <c r="L673" i="17"/>
  <c r="L674" i="17"/>
  <c r="M674" i="17" s="1"/>
  <c r="L675" i="17"/>
  <c r="L676" i="17"/>
  <c r="L677" i="17"/>
  <c r="L678" i="17"/>
  <c r="L679" i="17"/>
  <c r="M679" i="17" s="1"/>
  <c r="L680" i="17"/>
  <c r="M680" i="17" s="1"/>
  <c r="L681" i="17"/>
  <c r="M681" i="17" s="1"/>
  <c r="L682" i="17"/>
  <c r="M682" i="17" s="1"/>
  <c r="L683" i="17"/>
  <c r="L684" i="17"/>
  <c r="L685" i="17"/>
  <c r="L686" i="17"/>
  <c r="L687" i="17"/>
  <c r="M687" i="17" s="1"/>
  <c r="L688" i="17"/>
  <c r="M688" i="17" s="1"/>
  <c r="L689" i="17"/>
  <c r="M689" i="17" s="1"/>
  <c r="L690" i="17"/>
  <c r="M690" i="17" s="1"/>
  <c r="L691" i="17"/>
  <c r="L692" i="17"/>
  <c r="L693" i="17"/>
  <c r="L694" i="17"/>
  <c r="L695" i="17"/>
  <c r="M695" i="17" s="1"/>
  <c r="L696" i="17"/>
  <c r="M696" i="17" s="1"/>
  <c r="L697" i="17"/>
  <c r="M697" i="17" s="1"/>
  <c r="L698" i="17"/>
  <c r="L699" i="17"/>
  <c r="L700" i="17"/>
  <c r="L701" i="17"/>
  <c r="L702" i="17"/>
  <c r="L703" i="17"/>
  <c r="M703" i="17" s="1"/>
  <c r="L704" i="17"/>
  <c r="M704" i="17" s="1"/>
  <c r="L705" i="17"/>
  <c r="M705" i="17" s="1"/>
  <c r="L706" i="17"/>
  <c r="M706" i="17" s="1"/>
  <c r="L707" i="17"/>
  <c r="L708" i="17"/>
  <c r="L709" i="17"/>
  <c r="L710" i="17"/>
  <c r="L711" i="17"/>
  <c r="M711" i="17" s="1"/>
  <c r="L712" i="17"/>
  <c r="M712" i="17" s="1"/>
  <c r="L713" i="17"/>
  <c r="M713" i="17" s="1"/>
  <c r="L714" i="17"/>
  <c r="M714" i="17" s="1"/>
  <c r="L715" i="17"/>
  <c r="L716" i="17"/>
  <c r="M716" i="17" s="1"/>
  <c r="L717" i="17"/>
  <c r="L718" i="17"/>
  <c r="L719" i="17"/>
  <c r="L720" i="17"/>
  <c r="M720" i="17" s="1"/>
  <c r="L721" i="17"/>
  <c r="M721" i="17" s="1"/>
  <c r="L722" i="17"/>
  <c r="M722" i="17" s="1"/>
  <c r="L723" i="17"/>
  <c r="L724" i="17"/>
  <c r="L725" i="17"/>
  <c r="L726" i="17"/>
  <c r="L727" i="17"/>
  <c r="M727" i="17" s="1"/>
  <c r="L728" i="17"/>
  <c r="M728" i="17" s="1"/>
  <c r="L729" i="17"/>
  <c r="L730" i="17"/>
  <c r="M730" i="17" s="1"/>
  <c r="L731" i="17"/>
  <c r="L732" i="17"/>
  <c r="M732" i="17" s="1"/>
  <c r="L733" i="17"/>
  <c r="L734" i="17"/>
  <c r="L735" i="17"/>
  <c r="M735" i="17" s="1"/>
  <c r="L736" i="17"/>
  <c r="M736" i="17" s="1"/>
  <c r="L737" i="17"/>
  <c r="M737" i="17" s="1"/>
  <c r="L738" i="17"/>
  <c r="M738" i="17" s="1"/>
  <c r="L739" i="17"/>
  <c r="L740" i="17"/>
  <c r="L741" i="17"/>
  <c r="L742" i="17"/>
  <c r="L743" i="17"/>
  <c r="M743" i="17" s="1"/>
  <c r="L744" i="17"/>
  <c r="M744" i="17" s="1"/>
  <c r="L745" i="17"/>
  <c r="M745" i="17" s="1"/>
  <c r="L746" i="17"/>
  <c r="L747" i="17"/>
  <c r="L748" i="17"/>
  <c r="L749" i="17"/>
  <c r="L750" i="17"/>
  <c r="L751" i="17"/>
  <c r="M751" i="17" s="1"/>
  <c r="L752" i="17"/>
  <c r="L753" i="17"/>
  <c r="M753" i="17" s="1"/>
  <c r="L754" i="17"/>
  <c r="M754" i="17" s="1"/>
  <c r="L755" i="17"/>
  <c r="L756" i="17"/>
  <c r="L757" i="17"/>
  <c r="L758" i="17"/>
  <c r="L759" i="17"/>
  <c r="M759" i="17" s="1"/>
  <c r="L760" i="17"/>
  <c r="M760" i="17" s="1"/>
  <c r="L761" i="17"/>
  <c r="M761" i="17" s="1"/>
  <c r="L762" i="17"/>
  <c r="M762" i="17" s="1"/>
  <c r="L763" i="17"/>
  <c r="L764" i="17"/>
  <c r="L765" i="17"/>
  <c r="L766" i="17"/>
  <c r="L767" i="17"/>
  <c r="M767" i="17" s="1"/>
  <c r="L768" i="17"/>
  <c r="M768" i="17" s="1"/>
  <c r="L769" i="17"/>
  <c r="L770" i="17"/>
  <c r="M770" i="17" s="1"/>
  <c r="L771" i="17"/>
  <c r="L772" i="17"/>
  <c r="M772" i="17" s="1"/>
  <c r="L773" i="17"/>
  <c r="L774" i="17"/>
  <c r="L775" i="17"/>
  <c r="M775" i="17" s="1"/>
  <c r="L776" i="17"/>
  <c r="M776" i="17" s="1"/>
  <c r="L777" i="17"/>
  <c r="M777" i="17" s="1"/>
  <c r="L778" i="17"/>
  <c r="M778" i="17" s="1"/>
  <c r="L779" i="17"/>
  <c r="L780" i="17"/>
  <c r="L781" i="17"/>
  <c r="L782" i="17"/>
  <c r="L783" i="17"/>
  <c r="M783" i="17" s="1"/>
  <c r="L784" i="17"/>
  <c r="M784" i="17" s="1"/>
  <c r="L785" i="17"/>
  <c r="M785" i="17" s="1"/>
  <c r="L786" i="17"/>
  <c r="M786" i="17" s="1"/>
  <c r="L787" i="17"/>
  <c r="L788" i="17"/>
  <c r="L789" i="17"/>
  <c r="L790" i="17"/>
  <c r="L791" i="17"/>
  <c r="M791" i="17" s="1"/>
  <c r="L792" i="17"/>
  <c r="M792" i="17" s="1"/>
  <c r="L793" i="17"/>
  <c r="M793" i="17" s="1"/>
  <c r="L794" i="17"/>
  <c r="M794" i="17" s="1"/>
  <c r="L795" i="17"/>
  <c r="L796" i="17"/>
  <c r="M796" i="17" s="1"/>
  <c r="L797" i="17"/>
  <c r="L798" i="17"/>
  <c r="L799" i="17"/>
  <c r="M799" i="17" s="1"/>
  <c r="L800" i="17"/>
  <c r="L801" i="17"/>
  <c r="M801" i="17" s="1"/>
  <c r="L802" i="17"/>
  <c r="M802" i="17" s="1"/>
  <c r="L803" i="17"/>
  <c r="L804" i="17"/>
  <c r="L805" i="17"/>
  <c r="L806" i="17"/>
  <c r="L807" i="17"/>
  <c r="M807" i="17" s="1"/>
  <c r="L808" i="17"/>
  <c r="L809" i="17"/>
  <c r="L810" i="17"/>
  <c r="L811" i="17"/>
  <c r="L812" i="17"/>
  <c r="L813" i="17"/>
  <c r="L814" i="17"/>
  <c r="L815" i="17"/>
  <c r="M815" i="17" s="1"/>
  <c r="L816" i="17"/>
  <c r="M816" i="17" s="1"/>
  <c r="L817" i="17"/>
  <c r="M817" i="17" s="1"/>
  <c r="L818" i="17"/>
  <c r="M818" i="17" s="1"/>
  <c r="L819" i="17"/>
  <c r="L820" i="17"/>
  <c r="L821" i="17"/>
  <c r="L822" i="17"/>
  <c r="L823" i="17"/>
  <c r="M823" i="17" s="1"/>
  <c r="L824" i="17"/>
  <c r="M824" i="17" s="1"/>
  <c r="L825" i="17"/>
  <c r="M825" i="17" s="1"/>
  <c r="L826" i="17"/>
  <c r="M826" i="17" s="1"/>
  <c r="L827" i="17"/>
  <c r="L828" i="17"/>
  <c r="L829" i="17"/>
  <c r="L830" i="17"/>
  <c r="L831" i="17"/>
  <c r="M831" i="17" s="1"/>
  <c r="L832" i="17"/>
  <c r="M832" i="17" s="1"/>
  <c r="L833" i="17"/>
  <c r="M833" i="17" s="1"/>
  <c r="L834" i="17"/>
  <c r="M834" i="17" s="1"/>
  <c r="L835" i="17"/>
  <c r="L836" i="17"/>
  <c r="L837" i="17"/>
  <c r="L838" i="17"/>
  <c r="L839" i="17"/>
  <c r="M839" i="17" s="1"/>
  <c r="L840" i="17"/>
  <c r="M840" i="17" s="1"/>
  <c r="L841" i="17"/>
  <c r="M841" i="17" s="1"/>
  <c r="L842" i="17"/>
  <c r="M842" i="17" s="1"/>
  <c r="L843" i="17"/>
  <c r="L844" i="17"/>
  <c r="L845" i="17"/>
  <c r="L846" i="17"/>
  <c r="L847" i="17"/>
  <c r="L848" i="17"/>
  <c r="M848" i="17" s="1"/>
  <c r="L849" i="17"/>
  <c r="M849" i="17" s="1"/>
  <c r="L850" i="17"/>
  <c r="L851" i="17"/>
  <c r="L852" i="17"/>
  <c r="L853" i="17"/>
  <c r="L854" i="17"/>
  <c r="L855" i="17"/>
  <c r="L856" i="17"/>
  <c r="M856" i="17" s="1"/>
  <c r="L857" i="17"/>
  <c r="M857" i="17" s="1"/>
  <c r="L858" i="17"/>
  <c r="M858" i="17" s="1"/>
  <c r="L859" i="17"/>
  <c r="L860" i="17"/>
  <c r="L861" i="17"/>
  <c r="L862" i="17"/>
  <c r="L863" i="17"/>
  <c r="M863" i="17" s="1"/>
  <c r="L864" i="17"/>
  <c r="M864" i="17" s="1"/>
  <c r="L865" i="17"/>
  <c r="L866" i="17"/>
  <c r="M866" i="17" s="1"/>
  <c r="L867" i="17"/>
  <c r="L868" i="17"/>
  <c r="L869" i="17"/>
  <c r="L870" i="17"/>
  <c r="L871" i="17"/>
  <c r="M871" i="17" s="1"/>
  <c r="L872" i="17"/>
  <c r="M872" i="17" s="1"/>
  <c r="L873" i="17"/>
  <c r="M873" i="17" s="1"/>
  <c r="L874" i="17"/>
  <c r="M874" i="17" s="1"/>
  <c r="L875" i="17"/>
  <c r="L876" i="17"/>
  <c r="L877" i="17"/>
  <c r="L878" i="17"/>
  <c r="L879" i="17"/>
  <c r="M879" i="17" s="1"/>
  <c r="L880" i="17"/>
  <c r="M880" i="17" s="1"/>
  <c r="L881" i="17"/>
  <c r="M881" i="17" s="1"/>
  <c r="L882" i="17"/>
  <c r="M882" i="17" s="1"/>
  <c r="L883" i="17"/>
  <c r="L884" i="17"/>
  <c r="L885" i="17"/>
  <c r="L886" i="17"/>
  <c r="L887" i="17"/>
  <c r="M887" i="17" s="1"/>
  <c r="L888" i="17"/>
  <c r="M888" i="17" s="1"/>
  <c r="L889" i="17"/>
  <c r="M889" i="17" s="1"/>
  <c r="L890" i="17"/>
  <c r="M890" i="17" s="1"/>
  <c r="L891" i="17"/>
  <c r="L892" i="17"/>
  <c r="L893" i="17"/>
  <c r="L894" i="17"/>
  <c r="L895" i="17"/>
  <c r="M895" i="17" s="1"/>
  <c r="L896" i="17"/>
  <c r="M896" i="17" s="1"/>
  <c r="L897" i="17"/>
  <c r="M897" i="17" s="1"/>
  <c r="L898" i="17"/>
  <c r="M898" i="17" s="1"/>
  <c r="L899" i="17"/>
  <c r="L900" i="17"/>
  <c r="L901" i="17"/>
  <c r="L902" i="17"/>
  <c r="L903" i="17"/>
  <c r="M903" i="17" s="1"/>
  <c r="L904" i="17"/>
  <c r="M904" i="17" s="1"/>
  <c r="L905" i="17"/>
  <c r="L906" i="17"/>
  <c r="M906" i="17" s="1"/>
  <c r="L907" i="17"/>
  <c r="L908" i="17"/>
  <c r="L909" i="17"/>
  <c r="L910" i="17"/>
  <c r="L911" i="17"/>
  <c r="M911" i="17" s="1"/>
  <c r="L912" i="17"/>
  <c r="M912" i="17" s="1"/>
  <c r="L913" i="17"/>
  <c r="M913" i="17" s="1"/>
  <c r="L914" i="17"/>
  <c r="M914" i="17" s="1"/>
  <c r="L915" i="17"/>
  <c r="L916" i="17"/>
  <c r="L917" i="17"/>
  <c r="L918" i="17"/>
  <c r="L919" i="17"/>
  <c r="M919" i="17" s="1"/>
  <c r="L920" i="17"/>
  <c r="M920" i="17" s="1"/>
  <c r="L921" i="17"/>
  <c r="M921" i="17" s="1"/>
  <c r="L922" i="17"/>
  <c r="M922" i="17" s="1"/>
  <c r="L923" i="17"/>
  <c r="L924" i="17"/>
  <c r="L925" i="17"/>
  <c r="L926" i="17"/>
  <c r="L927" i="17"/>
  <c r="M927" i="17" s="1"/>
  <c r="L928" i="17"/>
  <c r="M928" i="17" s="1"/>
  <c r="L929" i="17"/>
  <c r="M929" i="17" s="1"/>
  <c r="L930" i="17"/>
  <c r="M930" i="17" s="1"/>
  <c r="L931" i="17"/>
  <c r="L932" i="17"/>
  <c r="L933" i="17"/>
  <c r="L934" i="17"/>
  <c r="L935" i="17"/>
  <c r="M935" i="17" s="1"/>
  <c r="L936" i="17"/>
  <c r="M936" i="17" s="1"/>
  <c r="L937" i="17"/>
  <c r="M937" i="17" s="1"/>
  <c r="L938" i="17"/>
  <c r="M938" i="17" s="1"/>
  <c r="L939" i="17"/>
  <c r="L940" i="17"/>
  <c r="L941" i="17"/>
  <c r="L942" i="17"/>
  <c r="L943" i="17"/>
  <c r="M943" i="17" s="1"/>
  <c r="L944" i="17"/>
  <c r="M944" i="17" s="1"/>
  <c r="L945" i="17"/>
  <c r="L946" i="17"/>
  <c r="M946" i="17" s="1"/>
  <c r="L947" i="17"/>
  <c r="L948" i="17"/>
  <c r="L949" i="17"/>
  <c r="L950" i="17"/>
  <c r="L951" i="17"/>
  <c r="M951" i="17" s="1"/>
  <c r="L952" i="17"/>
  <c r="M952" i="17" s="1"/>
  <c r="L953" i="17"/>
  <c r="M953" i="17" s="1"/>
  <c r="L954" i="17"/>
  <c r="M954" i="17" s="1"/>
  <c r="L955" i="17"/>
  <c r="L956" i="17"/>
  <c r="L957" i="17"/>
  <c r="L958" i="17"/>
  <c r="L959" i="17"/>
  <c r="M959" i="17" s="1"/>
  <c r="L960" i="17"/>
  <c r="M960" i="17" s="1"/>
  <c r="L961" i="17"/>
  <c r="M961" i="17" s="1"/>
  <c r="L962" i="17"/>
  <c r="M962" i="17" s="1"/>
  <c r="L963" i="17"/>
  <c r="L964" i="17"/>
  <c r="L965" i="17"/>
  <c r="L966" i="17"/>
  <c r="L967" i="17"/>
  <c r="M967" i="17" s="1"/>
  <c r="L968" i="17"/>
  <c r="L969" i="17"/>
  <c r="M969" i="17" s="1"/>
  <c r="L970" i="17"/>
  <c r="M970" i="17" s="1"/>
  <c r="L971" i="17"/>
  <c r="L972" i="17"/>
  <c r="L973" i="17"/>
  <c r="L974" i="17"/>
  <c r="L975" i="17"/>
  <c r="L976" i="17"/>
  <c r="M976" i="17" s="1"/>
  <c r="L977" i="17"/>
  <c r="M977" i="17" s="1"/>
  <c r="L978" i="17"/>
  <c r="M978" i="17" s="1"/>
  <c r="L979" i="17"/>
  <c r="L980" i="17"/>
  <c r="L981" i="17"/>
  <c r="L982" i="17"/>
  <c r="L983" i="17"/>
  <c r="L984" i="17"/>
  <c r="M984" i="17" s="1"/>
  <c r="L985" i="17"/>
  <c r="L986" i="17"/>
  <c r="M986" i="17" s="1"/>
  <c r="L987" i="17"/>
  <c r="L988" i="17"/>
  <c r="L989" i="17"/>
  <c r="L990" i="17"/>
  <c r="L991" i="17"/>
  <c r="M991" i="17" s="1"/>
  <c r="L992" i="17"/>
  <c r="M992" i="17" s="1"/>
  <c r="L993" i="17"/>
  <c r="M993" i="17" s="1"/>
  <c r="L994" i="17"/>
  <c r="M994" i="17" s="1"/>
  <c r="L995" i="17"/>
  <c r="L996" i="17"/>
  <c r="L997" i="17"/>
  <c r="L998" i="17"/>
  <c r="L999" i="17"/>
  <c r="M999" i="17" s="1"/>
  <c r="L1000" i="17"/>
  <c r="M1000" i="17" s="1"/>
  <c r="L1001" i="17"/>
  <c r="M1001" i="17" s="1"/>
  <c r="K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2" i="17"/>
  <c r="O2" i="17" s="1"/>
  <c r="J3" i="17"/>
  <c r="J4" i="17"/>
  <c r="J5" i="17"/>
  <c r="J6" i="17"/>
  <c r="J7" i="17"/>
  <c r="O7" i="17" s="1"/>
  <c r="J8" i="17"/>
  <c r="O8" i="17" s="1"/>
  <c r="J9" i="17"/>
  <c r="O9" i="17" s="1"/>
  <c r="J10" i="17"/>
  <c r="O10" i="17" s="1"/>
  <c r="J11" i="17"/>
  <c r="J12" i="17"/>
  <c r="J13" i="17"/>
  <c r="O13" i="17" s="1"/>
  <c r="J14" i="17"/>
  <c r="O14" i="17" s="1"/>
  <c r="J15" i="17"/>
  <c r="O15" i="17" s="1"/>
  <c r="J16" i="17"/>
  <c r="O16" i="17" s="1"/>
  <c r="J17" i="17"/>
  <c r="O17" i="17" s="1"/>
  <c r="J18" i="17"/>
  <c r="O18" i="17" s="1"/>
  <c r="J19" i="17"/>
  <c r="J20" i="17"/>
  <c r="J21" i="17"/>
  <c r="O21" i="17" s="1"/>
  <c r="J22" i="17"/>
  <c r="O22" i="17" s="1"/>
  <c r="J23" i="17"/>
  <c r="O23" i="17" s="1"/>
  <c r="J24" i="17"/>
  <c r="O24" i="17" s="1"/>
  <c r="J25" i="17"/>
  <c r="O25" i="17" s="1"/>
  <c r="J26" i="17"/>
  <c r="O26" i="17" s="1"/>
  <c r="J27" i="17"/>
  <c r="J28" i="17"/>
  <c r="J29" i="17"/>
  <c r="O29" i="17" s="1"/>
  <c r="J30" i="17"/>
  <c r="J31" i="17"/>
  <c r="O31" i="17" s="1"/>
  <c r="J32" i="17"/>
  <c r="O32" i="17" s="1"/>
  <c r="J33" i="17"/>
  <c r="O33" i="17" s="1"/>
  <c r="J34" i="17"/>
  <c r="J35" i="17"/>
  <c r="J36" i="17"/>
  <c r="J37" i="17"/>
  <c r="J38" i="17"/>
  <c r="O38" i="17" s="1"/>
  <c r="J39" i="17"/>
  <c r="O39" i="17" s="1"/>
  <c r="J40" i="17"/>
  <c r="O40" i="17" s="1"/>
  <c r="J41" i="17"/>
  <c r="O41" i="17" s="1"/>
  <c r="J42" i="17"/>
  <c r="O42" i="17" s="1"/>
  <c r="J43" i="17"/>
  <c r="J44" i="17"/>
  <c r="J45" i="17"/>
  <c r="O45" i="17" s="1"/>
  <c r="J46" i="17"/>
  <c r="J47" i="17"/>
  <c r="O47" i="17" s="1"/>
  <c r="J48" i="17"/>
  <c r="O48" i="17" s="1"/>
  <c r="J49" i="17"/>
  <c r="O49" i="17" s="1"/>
  <c r="J50" i="17"/>
  <c r="O50" i="17" s="1"/>
  <c r="J51" i="17"/>
  <c r="J52" i="17"/>
  <c r="J53" i="17"/>
  <c r="O53" i="17" s="1"/>
  <c r="J54" i="17"/>
  <c r="J55" i="17"/>
  <c r="O55" i="17" s="1"/>
  <c r="J56" i="17"/>
  <c r="O56" i="17" s="1"/>
  <c r="J57" i="17"/>
  <c r="O57" i="17" s="1"/>
  <c r="J58" i="17"/>
  <c r="O58" i="17" s="1"/>
  <c r="J59" i="17"/>
  <c r="J60" i="17"/>
  <c r="O60" i="17" s="1"/>
  <c r="J61" i="17"/>
  <c r="J62" i="17"/>
  <c r="J63" i="17"/>
  <c r="O63" i="17" s="1"/>
  <c r="J64" i="17"/>
  <c r="O64" i="17" s="1"/>
  <c r="J65" i="17"/>
  <c r="J66" i="17"/>
  <c r="O66" i="17" s="1"/>
  <c r="J67" i="17"/>
  <c r="J68" i="17"/>
  <c r="J69" i="17"/>
  <c r="J70" i="17"/>
  <c r="J71" i="17"/>
  <c r="O71" i="17" s="1"/>
  <c r="J72" i="17"/>
  <c r="O72" i="17" s="1"/>
  <c r="J73" i="17"/>
  <c r="O73" i="17" s="1"/>
  <c r="J74" i="17"/>
  <c r="O74" i="17" s="1"/>
  <c r="J75" i="17"/>
  <c r="J76" i="17"/>
  <c r="O76" i="17" s="1"/>
  <c r="J77" i="17"/>
  <c r="O77" i="17" s="1"/>
  <c r="J78" i="17"/>
  <c r="O78" i="17" s="1"/>
  <c r="J79" i="17"/>
  <c r="O79" i="17" s="1"/>
  <c r="J80" i="17"/>
  <c r="O80" i="17" s="1"/>
  <c r="J81" i="17"/>
  <c r="O81" i="17" s="1"/>
  <c r="J82" i="17"/>
  <c r="O82" i="17" s="1"/>
  <c r="J83" i="17"/>
  <c r="J84" i="17"/>
  <c r="J85" i="17"/>
  <c r="O85" i="17" s="1"/>
  <c r="J86" i="17"/>
  <c r="J87" i="17"/>
  <c r="O87" i="17" s="1"/>
  <c r="J88" i="17"/>
  <c r="O88" i="17" s="1"/>
  <c r="J89" i="17"/>
  <c r="O89" i="17" s="1"/>
  <c r="J90" i="17"/>
  <c r="O90" i="17" s="1"/>
  <c r="J91" i="17"/>
  <c r="J92" i="17"/>
  <c r="J93" i="17"/>
  <c r="J94" i="17"/>
  <c r="O94" i="17" s="1"/>
  <c r="J95" i="17"/>
  <c r="O95" i="17" s="1"/>
  <c r="J96" i="17"/>
  <c r="J97" i="17"/>
  <c r="O97" i="17" s="1"/>
  <c r="J98" i="17"/>
  <c r="O98" i="17" s="1"/>
  <c r="J99" i="17"/>
  <c r="J100" i="17"/>
  <c r="J101" i="17"/>
  <c r="J102" i="17"/>
  <c r="J103" i="17"/>
  <c r="O103" i="17" s="1"/>
  <c r="J104" i="17"/>
  <c r="O104" i="17" s="1"/>
  <c r="J105" i="17"/>
  <c r="O105" i="17" s="1"/>
  <c r="J106" i="17"/>
  <c r="O106" i="17" s="1"/>
  <c r="J107" i="17"/>
  <c r="J108" i="17"/>
  <c r="J109" i="17"/>
  <c r="J110" i="17"/>
  <c r="O110" i="17" s="1"/>
  <c r="J111" i="17"/>
  <c r="O111" i="17" s="1"/>
  <c r="J112" i="17"/>
  <c r="O112" i="17" s="1"/>
  <c r="J113" i="17"/>
  <c r="O113" i="17" s="1"/>
  <c r="J114" i="17"/>
  <c r="O114" i="17" s="1"/>
  <c r="J115" i="17"/>
  <c r="J116" i="17"/>
  <c r="J117" i="17"/>
  <c r="O117" i="17" s="1"/>
  <c r="J118" i="17"/>
  <c r="O118" i="17" s="1"/>
  <c r="J119" i="17"/>
  <c r="O119" i="17" s="1"/>
  <c r="J120" i="17"/>
  <c r="O120" i="17" s="1"/>
  <c r="J121" i="17"/>
  <c r="O121" i="17" s="1"/>
  <c r="J122" i="17"/>
  <c r="O122" i="17" s="1"/>
  <c r="J123" i="17"/>
  <c r="J124" i="17"/>
  <c r="O124" i="17" s="1"/>
  <c r="J125" i="17"/>
  <c r="O125" i="17" s="1"/>
  <c r="J126" i="17"/>
  <c r="J127" i="17"/>
  <c r="O127" i="17" s="1"/>
  <c r="J128" i="17"/>
  <c r="O128" i="17" s="1"/>
  <c r="J129" i="17"/>
  <c r="O129" i="17" s="1"/>
  <c r="J130" i="17"/>
  <c r="O130" i="17" s="1"/>
  <c r="J131" i="17"/>
  <c r="J132" i="17"/>
  <c r="O132" i="17" s="1"/>
  <c r="J133" i="17"/>
  <c r="J134" i="17"/>
  <c r="J135" i="17"/>
  <c r="O135" i="17" s="1"/>
  <c r="J136" i="17"/>
  <c r="O136" i="17" s="1"/>
  <c r="J137" i="17"/>
  <c r="O137" i="17" s="1"/>
  <c r="J138" i="17"/>
  <c r="O138" i="17" s="1"/>
  <c r="J139" i="17"/>
  <c r="J140" i="17"/>
  <c r="J141" i="17"/>
  <c r="J142" i="17"/>
  <c r="O142" i="17" s="1"/>
  <c r="J143" i="17"/>
  <c r="O143" i="17" s="1"/>
  <c r="J144" i="17"/>
  <c r="O144" i="17" s="1"/>
  <c r="J145" i="17"/>
  <c r="O145" i="17" s="1"/>
  <c r="J146" i="17"/>
  <c r="O146" i="17" s="1"/>
  <c r="J147" i="17"/>
  <c r="J148" i="17"/>
  <c r="O148" i="17" s="1"/>
  <c r="J149" i="17"/>
  <c r="J150" i="17"/>
  <c r="J151" i="17"/>
  <c r="O151" i="17" s="1"/>
  <c r="J152" i="17"/>
  <c r="O152" i="17" s="1"/>
  <c r="J153" i="17"/>
  <c r="O153" i="17" s="1"/>
  <c r="J154" i="17"/>
  <c r="O154" i="17" s="1"/>
  <c r="J155" i="17"/>
  <c r="J156" i="17"/>
  <c r="J157" i="17"/>
  <c r="O157" i="17" s="1"/>
  <c r="J158" i="17"/>
  <c r="J159" i="17"/>
  <c r="O159" i="17" s="1"/>
  <c r="J160" i="17"/>
  <c r="O160" i="17" s="1"/>
  <c r="J161" i="17"/>
  <c r="O161" i="17" s="1"/>
  <c r="J162" i="17"/>
  <c r="O162" i="17" s="1"/>
  <c r="J163" i="17"/>
  <c r="J164" i="17"/>
  <c r="O164" i="17" s="1"/>
  <c r="J165" i="17"/>
  <c r="O165" i="17" s="1"/>
  <c r="J166" i="17"/>
  <c r="J167" i="17"/>
  <c r="O167" i="17" s="1"/>
  <c r="J168" i="17"/>
  <c r="O168" i="17" s="1"/>
  <c r="J169" i="17"/>
  <c r="O169" i="17" s="1"/>
  <c r="J170" i="17"/>
  <c r="O170" i="17" s="1"/>
  <c r="J171" i="17"/>
  <c r="J172" i="17"/>
  <c r="O172" i="17" s="1"/>
  <c r="J173" i="17"/>
  <c r="O173" i="17" s="1"/>
  <c r="J174" i="17"/>
  <c r="O174" i="17" s="1"/>
  <c r="J175" i="17"/>
  <c r="O175" i="17" s="1"/>
  <c r="J176" i="17"/>
  <c r="O176" i="17" s="1"/>
  <c r="J177" i="17"/>
  <c r="O177" i="17" s="1"/>
  <c r="J178" i="17"/>
  <c r="O178" i="17" s="1"/>
  <c r="J179" i="17"/>
  <c r="J180" i="17"/>
  <c r="J181" i="17"/>
  <c r="J182" i="17"/>
  <c r="O182" i="17" s="1"/>
  <c r="J183" i="17"/>
  <c r="O183" i="17" s="1"/>
  <c r="J184" i="17"/>
  <c r="O184" i="17" s="1"/>
  <c r="J185" i="17"/>
  <c r="O185" i="17" s="1"/>
  <c r="J186" i="17"/>
  <c r="O186" i="17" s="1"/>
  <c r="J187" i="17"/>
  <c r="J188" i="17"/>
  <c r="J189" i="17"/>
  <c r="J190" i="17"/>
  <c r="J191" i="17"/>
  <c r="O191" i="17" s="1"/>
  <c r="J192" i="17"/>
  <c r="O192" i="17" s="1"/>
  <c r="J193" i="17"/>
  <c r="O193" i="17" s="1"/>
  <c r="J194" i="17"/>
  <c r="O194" i="17" s="1"/>
  <c r="J195" i="17"/>
  <c r="J196" i="17"/>
  <c r="J197" i="17"/>
  <c r="J198" i="17"/>
  <c r="J199" i="17"/>
  <c r="O199" i="17" s="1"/>
  <c r="J200" i="17"/>
  <c r="O200" i="17" s="1"/>
  <c r="J201" i="17"/>
  <c r="O201" i="17" s="1"/>
  <c r="J202" i="17"/>
  <c r="O202" i="17" s="1"/>
  <c r="J203" i="17"/>
  <c r="J204" i="17"/>
  <c r="O204" i="17" s="1"/>
  <c r="J205" i="17"/>
  <c r="O205" i="17" s="1"/>
  <c r="J206" i="17"/>
  <c r="J207" i="17"/>
  <c r="O207" i="17" s="1"/>
  <c r="J208" i="17"/>
  <c r="O208" i="17" s="1"/>
  <c r="J209" i="17"/>
  <c r="O209" i="17" s="1"/>
  <c r="J210" i="17"/>
  <c r="O210" i="17" s="1"/>
  <c r="J211" i="17"/>
  <c r="J212" i="17"/>
  <c r="J213" i="17"/>
  <c r="J214" i="17"/>
  <c r="O214" i="17" s="1"/>
  <c r="J215" i="17"/>
  <c r="O215" i="17" s="1"/>
  <c r="J216" i="17"/>
  <c r="O216" i="17" s="1"/>
  <c r="J217" i="17"/>
  <c r="O217" i="17" s="1"/>
  <c r="J218" i="17"/>
  <c r="O218" i="17" s="1"/>
  <c r="J219" i="17"/>
  <c r="J220" i="17"/>
  <c r="J221" i="17"/>
  <c r="O221" i="17" s="1"/>
  <c r="J222" i="17"/>
  <c r="J223" i="17"/>
  <c r="O223" i="17" s="1"/>
  <c r="J224" i="17"/>
  <c r="O224" i="17" s="1"/>
  <c r="J225" i="17"/>
  <c r="O225" i="17" s="1"/>
  <c r="J226" i="17"/>
  <c r="O226" i="17" s="1"/>
  <c r="J227" i="17"/>
  <c r="J228" i="17"/>
  <c r="J229" i="17"/>
  <c r="J230" i="17"/>
  <c r="J231" i="17"/>
  <c r="J232" i="17"/>
  <c r="O232" i="17" s="1"/>
  <c r="J233" i="17"/>
  <c r="O233" i="17" s="1"/>
  <c r="J234" i="17"/>
  <c r="O234" i="17" s="1"/>
  <c r="J235" i="17"/>
  <c r="J236" i="17"/>
  <c r="J237" i="17"/>
  <c r="J238" i="17"/>
  <c r="J239" i="17"/>
  <c r="O239" i="17" s="1"/>
  <c r="J240" i="17"/>
  <c r="O240" i="17" s="1"/>
  <c r="J241" i="17"/>
  <c r="O241" i="17" s="1"/>
  <c r="J242" i="17"/>
  <c r="O242" i="17" s="1"/>
  <c r="J243" i="17"/>
  <c r="J244" i="17"/>
  <c r="J245" i="17"/>
  <c r="O245" i="17" s="1"/>
  <c r="J246" i="17"/>
  <c r="J247" i="17"/>
  <c r="O247" i="17" s="1"/>
  <c r="J248" i="17"/>
  <c r="O248" i="17" s="1"/>
  <c r="J249" i="17"/>
  <c r="O249" i="17" s="1"/>
  <c r="J250" i="17"/>
  <c r="O250" i="17" s="1"/>
  <c r="J251" i="17"/>
  <c r="J252" i="17"/>
  <c r="O252" i="17" s="1"/>
  <c r="J253" i="17"/>
  <c r="J254" i="17"/>
  <c r="J255" i="17"/>
  <c r="O255" i="17" s="1"/>
  <c r="J256" i="17"/>
  <c r="O256" i="17" s="1"/>
  <c r="J257" i="17"/>
  <c r="O257" i="17" s="1"/>
  <c r="J258" i="17"/>
  <c r="O258" i="17" s="1"/>
  <c r="J259" i="17"/>
  <c r="J260" i="17"/>
  <c r="O260" i="17" s="1"/>
  <c r="J261" i="17"/>
  <c r="O261" i="17" s="1"/>
  <c r="J262" i="17"/>
  <c r="O262" i="17" s="1"/>
  <c r="J263" i="17"/>
  <c r="O263" i="17" s="1"/>
  <c r="J264" i="17"/>
  <c r="O264" i="17" s="1"/>
  <c r="J265" i="17"/>
  <c r="O265" i="17" s="1"/>
  <c r="J266" i="17"/>
  <c r="O266" i="17" s="1"/>
  <c r="J267" i="17"/>
  <c r="J268" i="17"/>
  <c r="J269" i="17"/>
  <c r="O269" i="17" s="1"/>
  <c r="J270" i="17"/>
  <c r="J271" i="17"/>
  <c r="O271" i="17" s="1"/>
  <c r="J272" i="17"/>
  <c r="O272" i="17" s="1"/>
  <c r="J273" i="17"/>
  <c r="O273" i="17" s="1"/>
  <c r="J274" i="17"/>
  <c r="O274" i="17" s="1"/>
  <c r="J275" i="17"/>
  <c r="J276" i="17"/>
  <c r="J277" i="17"/>
  <c r="J278" i="17"/>
  <c r="J279" i="17"/>
  <c r="O279" i="17" s="1"/>
  <c r="J280" i="17"/>
  <c r="O280" i="17" s="1"/>
  <c r="J281" i="17"/>
  <c r="O281" i="17" s="1"/>
  <c r="J282" i="17"/>
  <c r="O282" i="17" s="1"/>
  <c r="J283" i="17"/>
  <c r="J284" i="17"/>
  <c r="O284" i="17" s="1"/>
  <c r="J285" i="17"/>
  <c r="J286" i="17"/>
  <c r="O286" i="17" s="1"/>
  <c r="J287" i="17"/>
  <c r="O287" i="17" s="1"/>
  <c r="J288" i="17"/>
  <c r="O288" i="17" s="1"/>
  <c r="J289" i="17"/>
  <c r="O289" i="17" s="1"/>
  <c r="J290" i="17"/>
  <c r="O290" i="17" s="1"/>
  <c r="J291" i="17"/>
  <c r="J292" i="17"/>
  <c r="J293" i="17"/>
  <c r="O293" i="17" s="1"/>
  <c r="J294" i="17"/>
  <c r="J295" i="17"/>
  <c r="O295" i="17" s="1"/>
  <c r="J296" i="17"/>
  <c r="O296" i="17" s="1"/>
  <c r="J297" i="17"/>
  <c r="O297" i="17" s="1"/>
  <c r="J298" i="17"/>
  <c r="O298" i="17" s="1"/>
  <c r="J299" i="17"/>
  <c r="J300" i="17"/>
  <c r="J301" i="17"/>
  <c r="O301" i="17" s="1"/>
  <c r="J302" i="17"/>
  <c r="O302" i="17" s="1"/>
  <c r="J303" i="17"/>
  <c r="O303" i="17" s="1"/>
  <c r="J304" i="17"/>
  <c r="O304" i="17" s="1"/>
  <c r="J305" i="17"/>
  <c r="O305" i="17" s="1"/>
  <c r="J306" i="17"/>
  <c r="O306" i="17" s="1"/>
  <c r="J307" i="17"/>
  <c r="J308" i="17"/>
  <c r="O308" i="17" s="1"/>
  <c r="J309" i="17"/>
  <c r="J310" i="17"/>
  <c r="O310" i="17" s="1"/>
  <c r="J311" i="17"/>
  <c r="O311" i="17" s="1"/>
  <c r="J312" i="17"/>
  <c r="O312" i="17" s="1"/>
  <c r="J313" i="17"/>
  <c r="O313" i="17" s="1"/>
  <c r="J314" i="17"/>
  <c r="O314" i="17" s="1"/>
  <c r="J315" i="17"/>
  <c r="J316" i="17"/>
  <c r="J317" i="17"/>
  <c r="J318" i="17"/>
  <c r="J319" i="17"/>
  <c r="O319" i="17" s="1"/>
  <c r="J320" i="17"/>
  <c r="O320" i="17" s="1"/>
  <c r="J321" i="17"/>
  <c r="O321" i="17" s="1"/>
  <c r="J322" i="17"/>
  <c r="O322" i="17" s="1"/>
  <c r="J323" i="17"/>
  <c r="J324" i="17"/>
  <c r="O324" i="17" s="1"/>
  <c r="J325" i="17"/>
  <c r="J326" i="17"/>
  <c r="J327" i="17"/>
  <c r="O327" i="17" s="1"/>
  <c r="J328" i="17"/>
  <c r="O328" i="17" s="1"/>
  <c r="J329" i="17"/>
  <c r="O329" i="17" s="1"/>
  <c r="J330" i="17"/>
  <c r="O330" i="17" s="1"/>
  <c r="J331" i="17"/>
  <c r="J332" i="17"/>
  <c r="O332" i="17" s="1"/>
  <c r="J333" i="17"/>
  <c r="J334" i="17"/>
  <c r="O334" i="17" s="1"/>
  <c r="J335" i="17"/>
  <c r="O335" i="17" s="1"/>
  <c r="J336" i="17"/>
  <c r="O336" i="17" s="1"/>
  <c r="J337" i="17"/>
  <c r="O337" i="17" s="1"/>
  <c r="J338" i="17"/>
  <c r="O338" i="17" s="1"/>
  <c r="J339" i="17"/>
  <c r="J340" i="17"/>
  <c r="J341" i="17"/>
  <c r="J342" i="17"/>
  <c r="J343" i="17"/>
  <c r="O343" i="17" s="1"/>
  <c r="J344" i="17"/>
  <c r="O344" i="17" s="1"/>
  <c r="J345" i="17"/>
  <c r="O345" i="17" s="1"/>
  <c r="J346" i="17"/>
  <c r="O346" i="17" s="1"/>
  <c r="J347" i="17"/>
  <c r="J348" i="17"/>
  <c r="J349" i="17"/>
  <c r="O349" i="17" s="1"/>
  <c r="J350" i="17"/>
  <c r="J351" i="17"/>
  <c r="O351" i="17" s="1"/>
  <c r="J352" i="17"/>
  <c r="O352" i="17" s="1"/>
  <c r="J353" i="17"/>
  <c r="O353" i="17" s="1"/>
  <c r="J354" i="17"/>
  <c r="O354" i="17" s="1"/>
  <c r="J355" i="17"/>
  <c r="J356" i="17"/>
  <c r="J357" i="17"/>
  <c r="J358" i="17"/>
  <c r="J359" i="17"/>
  <c r="O359" i="17" s="1"/>
  <c r="J360" i="17"/>
  <c r="O360" i="17" s="1"/>
  <c r="J361" i="17"/>
  <c r="O361" i="17" s="1"/>
  <c r="J362" i="17"/>
  <c r="O362" i="17" s="1"/>
  <c r="J363" i="17"/>
  <c r="J364" i="17"/>
  <c r="O364" i="17" s="1"/>
  <c r="J365" i="17"/>
  <c r="J366" i="17"/>
  <c r="J367" i="17"/>
  <c r="O367" i="17" s="1"/>
  <c r="J368" i="17"/>
  <c r="O368" i="17" s="1"/>
  <c r="J369" i="17"/>
  <c r="O369" i="17" s="1"/>
  <c r="J370" i="17"/>
  <c r="O370" i="17" s="1"/>
  <c r="J371" i="17"/>
  <c r="J372" i="17"/>
  <c r="J373" i="17"/>
  <c r="J374" i="17"/>
  <c r="J375" i="17"/>
  <c r="O375" i="17" s="1"/>
  <c r="J376" i="17"/>
  <c r="O376" i="17" s="1"/>
  <c r="J377" i="17"/>
  <c r="O377" i="17" s="1"/>
  <c r="J378" i="17"/>
  <c r="O378" i="17" s="1"/>
  <c r="J379" i="17"/>
  <c r="J380" i="17"/>
  <c r="J381" i="17"/>
  <c r="O381" i="17" s="1"/>
  <c r="J382" i="17"/>
  <c r="J383" i="17"/>
  <c r="O383" i="17" s="1"/>
  <c r="J384" i="17"/>
  <c r="O384" i="17" s="1"/>
  <c r="J385" i="17"/>
  <c r="O385" i="17" s="1"/>
  <c r="J386" i="17"/>
  <c r="O386" i="17" s="1"/>
  <c r="J387" i="17"/>
  <c r="J388" i="17"/>
  <c r="O388" i="17" s="1"/>
  <c r="J389" i="17"/>
  <c r="J390" i="17"/>
  <c r="J391" i="17"/>
  <c r="O391" i="17" s="1"/>
  <c r="J392" i="17"/>
  <c r="O392" i="17" s="1"/>
  <c r="J393" i="17"/>
  <c r="O393" i="17" s="1"/>
  <c r="J394" i="17"/>
  <c r="O394" i="17" s="1"/>
  <c r="J395" i="17"/>
  <c r="J396" i="17"/>
  <c r="J397" i="17"/>
  <c r="J398" i="17"/>
  <c r="J399" i="17"/>
  <c r="O399" i="17" s="1"/>
  <c r="J400" i="17"/>
  <c r="O400" i="17" s="1"/>
  <c r="J401" i="17"/>
  <c r="O401" i="17" s="1"/>
  <c r="J402" i="17"/>
  <c r="O402" i="17" s="1"/>
  <c r="J403" i="17"/>
  <c r="J404" i="17"/>
  <c r="J405" i="17"/>
  <c r="O405" i="17" s="1"/>
  <c r="J406" i="17"/>
  <c r="O406" i="17" s="1"/>
  <c r="J407" i="17"/>
  <c r="O407" i="17" s="1"/>
  <c r="J408" i="17"/>
  <c r="O408" i="17" s="1"/>
  <c r="J409" i="17"/>
  <c r="O409" i="17" s="1"/>
  <c r="J410" i="17"/>
  <c r="O410" i="17" s="1"/>
  <c r="J411" i="17"/>
  <c r="J412" i="17"/>
  <c r="J413" i="17"/>
  <c r="J414" i="17"/>
  <c r="J415" i="17"/>
  <c r="O415" i="17" s="1"/>
  <c r="J416" i="17"/>
  <c r="O416" i="17" s="1"/>
  <c r="J417" i="17"/>
  <c r="O417" i="17" s="1"/>
  <c r="J418" i="17"/>
  <c r="O418" i="17" s="1"/>
  <c r="J419" i="17"/>
  <c r="J420" i="17"/>
  <c r="J421" i="17"/>
  <c r="O421" i="17" s="1"/>
  <c r="J422" i="17"/>
  <c r="J423" i="17"/>
  <c r="O423" i="17" s="1"/>
  <c r="J424" i="17"/>
  <c r="O424" i="17" s="1"/>
  <c r="J425" i="17"/>
  <c r="O425" i="17" s="1"/>
  <c r="J426" i="17"/>
  <c r="O426" i="17" s="1"/>
  <c r="J427" i="17"/>
  <c r="J428" i="17"/>
  <c r="O428" i="17" s="1"/>
  <c r="J429" i="17"/>
  <c r="J430" i="17"/>
  <c r="J431" i="17"/>
  <c r="O431" i="17" s="1"/>
  <c r="J432" i="17"/>
  <c r="O432" i="17" s="1"/>
  <c r="J433" i="17"/>
  <c r="O433" i="17" s="1"/>
  <c r="J434" i="17"/>
  <c r="O434" i="17" s="1"/>
  <c r="J435" i="17"/>
  <c r="J436" i="17"/>
  <c r="J437" i="17"/>
  <c r="J438" i="17"/>
  <c r="J439" i="17"/>
  <c r="O439" i="17" s="1"/>
  <c r="J440" i="17"/>
  <c r="O440" i="17" s="1"/>
  <c r="J441" i="17"/>
  <c r="O441" i="17" s="1"/>
  <c r="J442" i="17"/>
  <c r="O442" i="17" s="1"/>
  <c r="J443" i="17"/>
  <c r="J444" i="17"/>
  <c r="O444" i="17" s="1"/>
  <c r="J445" i="17"/>
  <c r="J446" i="17"/>
  <c r="O446" i="17" s="1"/>
  <c r="J447" i="17"/>
  <c r="O447" i="17" s="1"/>
  <c r="J448" i="17"/>
  <c r="O448" i="17" s="1"/>
  <c r="J449" i="17"/>
  <c r="O449" i="17" s="1"/>
  <c r="J450" i="17"/>
  <c r="O450" i="17" s="1"/>
  <c r="J451" i="17"/>
  <c r="J452" i="17"/>
  <c r="O452" i="17" s="1"/>
  <c r="J453" i="17"/>
  <c r="J454" i="17"/>
  <c r="J455" i="17"/>
  <c r="O455" i="17" s="1"/>
  <c r="J456" i="17"/>
  <c r="O456" i="17" s="1"/>
  <c r="J457" i="17"/>
  <c r="O457" i="17" s="1"/>
  <c r="J458" i="17"/>
  <c r="O458" i="17" s="1"/>
  <c r="J459" i="17"/>
  <c r="J460" i="17"/>
  <c r="J461" i="17"/>
  <c r="J462" i="17"/>
  <c r="J463" i="17"/>
  <c r="O463" i="17" s="1"/>
  <c r="J464" i="17"/>
  <c r="O464" i="17" s="1"/>
  <c r="J465" i="17"/>
  <c r="O465" i="17" s="1"/>
  <c r="J466" i="17"/>
  <c r="O466" i="17" s="1"/>
  <c r="J467" i="17"/>
  <c r="J468" i="17"/>
  <c r="J469" i="17"/>
  <c r="J470" i="17"/>
  <c r="O470" i="17" s="1"/>
  <c r="J471" i="17"/>
  <c r="J472" i="17"/>
  <c r="O472" i="17" s="1"/>
  <c r="J473" i="17"/>
  <c r="O473" i="17" s="1"/>
  <c r="J474" i="17"/>
  <c r="O474" i="17" s="1"/>
  <c r="J475" i="17"/>
  <c r="J476" i="17"/>
  <c r="O476" i="17" s="1"/>
  <c r="J477" i="17"/>
  <c r="J478" i="17"/>
  <c r="J479" i="17"/>
  <c r="O479" i="17" s="1"/>
  <c r="J480" i="17"/>
  <c r="O480" i="17" s="1"/>
  <c r="J481" i="17"/>
  <c r="O481" i="17" s="1"/>
  <c r="J482" i="17"/>
  <c r="O482" i="17" s="1"/>
  <c r="J483" i="17"/>
  <c r="J484" i="17"/>
  <c r="J485" i="17"/>
  <c r="J486" i="17"/>
  <c r="J487" i="17"/>
  <c r="J488" i="17"/>
  <c r="O488" i="17" s="1"/>
  <c r="J489" i="17"/>
  <c r="O489" i="17" s="1"/>
  <c r="J490" i="17"/>
  <c r="O490" i="17" s="1"/>
  <c r="J491" i="17"/>
  <c r="J492" i="17"/>
  <c r="O492" i="17" s="1"/>
  <c r="J493" i="17"/>
  <c r="J494" i="17"/>
  <c r="J495" i="17"/>
  <c r="O495" i="17" s="1"/>
  <c r="J496" i="17"/>
  <c r="O496" i="17" s="1"/>
  <c r="J497" i="17"/>
  <c r="O497" i="17" s="1"/>
  <c r="J498" i="17"/>
  <c r="O498" i="17" s="1"/>
  <c r="J499" i="17"/>
  <c r="J500" i="17"/>
  <c r="J501" i="17"/>
  <c r="O501" i="17" s="1"/>
  <c r="J502" i="17"/>
  <c r="J503" i="17"/>
  <c r="O503" i="17" s="1"/>
  <c r="J504" i="17"/>
  <c r="O504" i="17" s="1"/>
  <c r="J505" i="17"/>
  <c r="O505" i="17" s="1"/>
  <c r="J506" i="17"/>
  <c r="O506" i="17" s="1"/>
  <c r="J507" i="17"/>
  <c r="J508" i="17"/>
  <c r="J509" i="17"/>
  <c r="J510" i="17"/>
  <c r="O510" i="17" s="1"/>
  <c r="J511" i="17"/>
  <c r="O511" i="17" s="1"/>
  <c r="J512" i="17"/>
  <c r="O512" i="17" s="1"/>
  <c r="J513" i="17"/>
  <c r="O513" i="17" s="1"/>
  <c r="J514" i="17"/>
  <c r="O514" i="17" s="1"/>
  <c r="J515" i="17"/>
  <c r="J516" i="17"/>
  <c r="J517" i="17"/>
  <c r="J518" i="17"/>
  <c r="J519" i="17"/>
  <c r="O519" i="17" s="1"/>
  <c r="J520" i="17"/>
  <c r="O520" i="17" s="1"/>
  <c r="J521" i="17"/>
  <c r="O521" i="17" s="1"/>
  <c r="J522" i="17"/>
  <c r="O522" i="17" s="1"/>
  <c r="J523" i="17"/>
  <c r="J524" i="17"/>
  <c r="J525" i="17"/>
  <c r="J526" i="17"/>
  <c r="J527" i="17"/>
  <c r="O527" i="17" s="1"/>
  <c r="J528" i="17"/>
  <c r="O528" i="17" s="1"/>
  <c r="J529" i="17"/>
  <c r="O529" i="17" s="1"/>
  <c r="J530" i="17"/>
  <c r="O530" i="17" s="1"/>
  <c r="J531" i="17"/>
  <c r="J532" i="17"/>
  <c r="J533" i="17"/>
  <c r="J534" i="17"/>
  <c r="J535" i="17"/>
  <c r="O535" i="17" s="1"/>
  <c r="J536" i="17"/>
  <c r="O536" i="17" s="1"/>
  <c r="J537" i="17"/>
  <c r="O537" i="17" s="1"/>
  <c r="J538" i="17"/>
  <c r="O538" i="17" s="1"/>
  <c r="J539" i="17"/>
  <c r="J540" i="17"/>
  <c r="J541" i="17"/>
  <c r="J542" i="17"/>
  <c r="J543" i="17"/>
  <c r="O543" i="17" s="1"/>
  <c r="J544" i="17"/>
  <c r="O544" i="17" s="1"/>
  <c r="J545" i="17"/>
  <c r="O545" i="17" s="1"/>
  <c r="J546" i="17"/>
  <c r="O546" i="17" s="1"/>
  <c r="J547" i="17"/>
  <c r="J548" i="17"/>
  <c r="O548" i="17" s="1"/>
  <c r="J549" i="17"/>
  <c r="J550" i="17"/>
  <c r="J551" i="17"/>
  <c r="O551" i="17" s="1"/>
  <c r="J552" i="17"/>
  <c r="O552" i="17" s="1"/>
  <c r="J553" i="17"/>
  <c r="O553" i="17" s="1"/>
  <c r="J554" i="17"/>
  <c r="O554" i="17" s="1"/>
  <c r="J555" i="17"/>
  <c r="J556" i="17"/>
  <c r="J557" i="17"/>
  <c r="J558" i="17"/>
  <c r="J559" i="17"/>
  <c r="O559" i="17" s="1"/>
  <c r="J560" i="17"/>
  <c r="O560" i="17" s="1"/>
  <c r="J561" i="17"/>
  <c r="O561" i="17" s="1"/>
  <c r="J562" i="17"/>
  <c r="O562" i="17" s="1"/>
  <c r="J563" i="17"/>
  <c r="J564" i="17"/>
  <c r="J565" i="17"/>
  <c r="J566" i="17"/>
  <c r="J567" i="17"/>
  <c r="O567" i="17" s="1"/>
  <c r="J568" i="17"/>
  <c r="O568" i="17" s="1"/>
  <c r="J569" i="17"/>
  <c r="O569" i="17" s="1"/>
  <c r="J570" i="17"/>
  <c r="O570" i="17" s="1"/>
  <c r="J571" i="17"/>
  <c r="J572" i="17"/>
  <c r="J573" i="17"/>
  <c r="O573" i="17" s="1"/>
  <c r="J574" i="17"/>
  <c r="J575" i="17"/>
  <c r="O575" i="17" s="1"/>
  <c r="J576" i="17"/>
  <c r="O576" i="17" s="1"/>
  <c r="J577" i="17"/>
  <c r="O577" i="17" s="1"/>
  <c r="J578" i="17"/>
  <c r="O578" i="17" s="1"/>
  <c r="J579" i="17"/>
  <c r="J580" i="17"/>
  <c r="J581" i="17"/>
  <c r="J582" i="17"/>
  <c r="J583" i="17"/>
  <c r="O583" i="17" s="1"/>
  <c r="J584" i="17"/>
  <c r="O584" i="17" s="1"/>
  <c r="J585" i="17"/>
  <c r="O585" i="17" s="1"/>
  <c r="J586" i="17"/>
  <c r="O586" i="17" s="1"/>
  <c r="J587" i="17"/>
  <c r="J588" i="17"/>
  <c r="J589" i="17"/>
  <c r="J590" i="17"/>
  <c r="J591" i="17"/>
  <c r="O591" i="17" s="1"/>
  <c r="J592" i="17"/>
  <c r="O592" i="17" s="1"/>
  <c r="J593" i="17"/>
  <c r="O593" i="17" s="1"/>
  <c r="J594" i="17"/>
  <c r="O594" i="17" s="1"/>
  <c r="J595" i="17"/>
  <c r="J596" i="17"/>
  <c r="O596" i="17" s="1"/>
  <c r="J597" i="17"/>
  <c r="J598" i="17"/>
  <c r="J599" i="17"/>
  <c r="O599" i="17" s="1"/>
  <c r="J600" i="17"/>
  <c r="O600" i="17" s="1"/>
  <c r="J601" i="17"/>
  <c r="O601" i="17" s="1"/>
  <c r="J602" i="17"/>
  <c r="O602" i="17" s="1"/>
  <c r="J603" i="17"/>
  <c r="J604" i="17"/>
  <c r="J605" i="17"/>
  <c r="J606" i="17"/>
  <c r="J607" i="17"/>
  <c r="O607" i="17" s="1"/>
  <c r="J608" i="17"/>
  <c r="O608" i="17" s="1"/>
  <c r="J609" i="17"/>
  <c r="O609" i="17" s="1"/>
  <c r="J610" i="17"/>
  <c r="O610" i="17" s="1"/>
  <c r="J611" i="17"/>
  <c r="J612" i="17"/>
  <c r="J613" i="17"/>
  <c r="J614" i="17"/>
  <c r="J615" i="17"/>
  <c r="O615" i="17" s="1"/>
  <c r="J616" i="17"/>
  <c r="O616" i="17" s="1"/>
  <c r="J617" i="17"/>
  <c r="O617" i="17" s="1"/>
  <c r="J618" i="17"/>
  <c r="O618" i="17" s="1"/>
  <c r="J619" i="17"/>
  <c r="J620" i="17"/>
  <c r="J621" i="17"/>
  <c r="J622" i="17"/>
  <c r="O622" i="17" s="1"/>
  <c r="J623" i="17"/>
  <c r="O623" i="17" s="1"/>
  <c r="J624" i="17"/>
  <c r="O624" i="17" s="1"/>
  <c r="J625" i="17"/>
  <c r="O625" i="17" s="1"/>
  <c r="J626" i="17"/>
  <c r="O626" i="17" s="1"/>
  <c r="J627" i="17"/>
  <c r="J628" i="17"/>
  <c r="J629" i="17"/>
  <c r="J630" i="17"/>
  <c r="J631" i="17"/>
  <c r="J632" i="17"/>
  <c r="O632" i="17" s="1"/>
  <c r="J633" i="17"/>
  <c r="O633" i="17" s="1"/>
  <c r="J634" i="17"/>
  <c r="O634" i="17" s="1"/>
  <c r="J635" i="17"/>
  <c r="J636" i="17"/>
  <c r="J637" i="17"/>
  <c r="O637" i="17" s="1"/>
  <c r="J638" i="17"/>
  <c r="J639" i="17"/>
  <c r="O639" i="17" s="1"/>
  <c r="J640" i="17"/>
  <c r="O640" i="17" s="1"/>
  <c r="J641" i="17"/>
  <c r="O641" i="17" s="1"/>
  <c r="J642" i="17"/>
  <c r="O642" i="17" s="1"/>
  <c r="J643" i="17"/>
  <c r="J644" i="17"/>
  <c r="J645" i="17"/>
  <c r="J646" i="17"/>
  <c r="J647" i="17"/>
  <c r="O647" i="17" s="1"/>
  <c r="J648" i="17"/>
  <c r="O648" i="17" s="1"/>
  <c r="J649" i="17"/>
  <c r="O649" i="17" s="1"/>
  <c r="J650" i="17"/>
  <c r="O650" i="17" s="1"/>
  <c r="J651" i="17"/>
  <c r="J652" i="17"/>
  <c r="J653" i="17"/>
  <c r="O653" i="17" s="1"/>
  <c r="J654" i="17"/>
  <c r="J655" i="17"/>
  <c r="O655" i="17" s="1"/>
  <c r="J656" i="17"/>
  <c r="O656" i="17" s="1"/>
  <c r="J657" i="17"/>
  <c r="O657" i="17" s="1"/>
  <c r="J658" i="17"/>
  <c r="O658" i="17" s="1"/>
  <c r="J659" i="17"/>
  <c r="J660" i="17"/>
  <c r="J661" i="17"/>
  <c r="J662" i="17"/>
  <c r="O662" i="17" s="1"/>
  <c r="J663" i="17"/>
  <c r="O663" i="17" s="1"/>
  <c r="J664" i="17"/>
  <c r="O664" i="17" s="1"/>
  <c r="J665" i="17"/>
  <c r="O665" i="17" s="1"/>
  <c r="J666" i="17"/>
  <c r="O666" i="17" s="1"/>
  <c r="J667" i="17"/>
  <c r="J668" i="17"/>
  <c r="J669" i="17"/>
  <c r="J670" i="17"/>
  <c r="J671" i="17"/>
  <c r="O671" i="17" s="1"/>
  <c r="J672" i="17"/>
  <c r="O672" i="17" s="1"/>
  <c r="J673" i="17"/>
  <c r="O673" i="17" s="1"/>
  <c r="J674" i="17"/>
  <c r="O674" i="17" s="1"/>
  <c r="J675" i="17"/>
  <c r="J676" i="17"/>
  <c r="O676" i="17" s="1"/>
  <c r="J677" i="17"/>
  <c r="J678" i="17"/>
  <c r="O678" i="17" s="1"/>
  <c r="J679" i="17"/>
  <c r="O679" i="17" s="1"/>
  <c r="J680" i="17"/>
  <c r="O680" i="17" s="1"/>
  <c r="J681" i="17"/>
  <c r="O681" i="17" s="1"/>
  <c r="J682" i="17"/>
  <c r="O682" i="17" s="1"/>
  <c r="J683" i="17"/>
  <c r="J684" i="17"/>
  <c r="J685" i="17"/>
  <c r="O685" i="17" s="1"/>
  <c r="J686" i="17"/>
  <c r="O686" i="17" s="1"/>
  <c r="J687" i="17"/>
  <c r="O687" i="17" s="1"/>
  <c r="J688" i="17"/>
  <c r="O688" i="17" s="1"/>
  <c r="J689" i="17"/>
  <c r="O689" i="17" s="1"/>
  <c r="J690" i="17"/>
  <c r="O690" i="17" s="1"/>
  <c r="J691" i="17"/>
  <c r="J692" i="17"/>
  <c r="J693" i="17"/>
  <c r="O693" i="17" s="1"/>
  <c r="J694" i="17"/>
  <c r="J695" i="17"/>
  <c r="O695" i="17" s="1"/>
  <c r="J696" i="17"/>
  <c r="O696" i="17" s="1"/>
  <c r="J697" i="17"/>
  <c r="O697" i="17" s="1"/>
  <c r="J698" i="17"/>
  <c r="O698" i="17" s="1"/>
  <c r="J699" i="17"/>
  <c r="J700" i="17"/>
  <c r="J701" i="17"/>
  <c r="J702" i="17"/>
  <c r="J703" i="17"/>
  <c r="O703" i="17" s="1"/>
  <c r="J704" i="17"/>
  <c r="O704" i="17" s="1"/>
  <c r="J705" i="17"/>
  <c r="O705" i="17" s="1"/>
  <c r="J706" i="17"/>
  <c r="O706" i="17" s="1"/>
  <c r="J707" i="17"/>
  <c r="J708" i="17"/>
  <c r="J709" i="17"/>
  <c r="O709" i="17" s="1"/>
  <c r="J710" i="17"/>
  <c r="J711" i="17"/>
  <c r="O711" i="17" s="1"/>
  <c r="J712" i="17"/>
  <c r="O712" i="17" s="1"/>
  <c r="J713" i="17"/>
  <c r="O713" i="17" s="1"/>
  <c r="J714" i="17"/>
  <c r="O714" i="17" s="1"/>
  <c r="J715" i="17"/>
  <c r="J716" i="17"/>
  <c r="O716" i="17" s="1"/>
  <c r="J717" i="17"/>
  <c r="J718" i="17"/>
  <c r="J719" i="17"/>
  <c r="O719" i="17" s="1"/>
  <c r="J720" i="17"/>
  <c r="O720" i="17" s="1"/>
  <c r="J721" i="17"/>
  <c r="O721" i="17" s="1"/>
  <c r="J722" i="17"/>
  <c r="O722" i="17" s="1"/>
  <c r="J723" i="17"/>
  <c r="J724" i="17"/>
  <c r="J725" i="17"/>
  <c r="J726" i="17"/>
  <c r="O726" i="17" s="1"/>
  <c r="J727" i="17"/>
  <c r="J728" i="17"/>
  <c r="O728" i="17" s="1"/>
  <c r="J729" i="17"/>
  <c r="O729" i="17" s="1"/>
  <c r="J730" i="17"/>
  <c r="O730" i="17" s="1"/>
  <c r="J731" i="17"/>
  <c r="J732" i="17"/>
  <c r="J733" i="17"/>
  <c r="J734" i="17"/>
  <c r="J735" i="17"/>
  <c r="O735" i="17" s="1"/>
  <c r="J736" i="17"/>
  <c r="O736" i="17" s="1"/>
  <c r="J737" i="17"/>
  <c r="O737" i="17" s="1"/>
  <c r="J738" i="17"/>
  <c r="O738" i="17" s="1"/>
  <c r="J739" i="17"/>
  <c r="J740" i="17"/>
  <c r="J741" i="17"/>
  <c r="J742" i="17"/>
  <c r="J743" i="17"/>
  <c r="O743" i="17" s="1"/>
  <c r="J744" i="17"/>
  <c r="O744" i="17" s="1"/>
  <c r="J745" i="17"/>
  <c r="O745" i="17" s="1"/>
  <c r="J746" i="17"/>
  <c r="O746" i="17" s="1"/>
  <c r="J747" i="17"/>
  <c r="J748" i="17"/>
  <c r="J749" i="17"/>
  <c r="J750" i="17"/>
  <c r="J751" i="17"/>
  <c r="O751" i="17" s="1"/>
  <c r="J752" i="17"/>
  <c r="O752" i="17" s="1"/>
  <c r="J753" i="17"/>
  <c r="O753" i="17" s="1"/>
  <c r="J754" i="17"/>
  <c r="O754" i="17" s="1"/>
  <c r="J755" i="17"/>
  <c r="J756" i="17"/>
  <c r="J757" i="17"/>
  <c r="J758" i="17"/>
  <c r="J759" i="17"/>
  <c r="O759" i="17" s="1"/>
  <c r="J760" i="17"/>
  <c r="O760" i="17" s="1"/>
  <c r="J761" i="17"/>
  <c r="O761" i="17" s="1"/>
  <c r="J762" i="17"/>
  <c r="O762" i="17" s="1"/>
  <c r="J763" i="17"/>
  <c r="J764" i="17"/>
  <c r="J765" i="17"/>
  <c r="J766" i="17"/>
  <c r="O766" i="17" s="1"/>
  <c r="J767" i="17"/>
  <c r="O767" i="17" s="1"/>
  <c r="J768" i="17"/>
  <c r="O768" i="17" s="1"/>
  <c r="J769" i="17"/>
  <c r="O769" i="17" s="1"/>
  <c r="J770" i="17"/>
  <c r="O770" i="17" s="1"/>
  <c r="J771" i="17"/>
  <c r="J772" i="17"/>
  <c r="J773" i="17"/>
  <c r="J774" i="17"/>
  <c r="J775" i="17"/>
  <c r="O775" i="17" s="1"/>
  <c r="J776" i="17"/>
  <c r="O776" i="17" s="1"/>
  <c r="J777" i="17"/>
  <c r="O777" i="17" s="1"/>
  <c r="J778" i="17"/>
  <c r="O778" i="17" s="1"/>
  <c r="J779" i="17"/>
  <c r="J780" i="17"/>
  <c r="J781" i="17"/>
  <c r="J782" i="17"/>
  <c r="J783" i="17"/>
  <c r="O783" i="17" s="1"/>
  <c r="J784" i="17"/>
  <c r="O784" i="17" s="1"/>
  <c r="J785" i="17"/>
  <c r="O785" i="17" s="1"/>
  <c r="J786" i="17"/>
  <c r="O786" i="17" s="1"/>
  <c r="J787" i="17"/>
  <c r="J788" i="17"/>
  <c r="J789" i="17"/>
  <c r="J790" i="17"/>
  <c r="J791" i="17"/>
  <c r="O791" i="17" s="1"/>
  <c r="J792" i="17"/>
  <c r="O792" i="17" s="1"/>
  <c r="J793" i="17"/>
  <c r="O793" i="17" s="1"/>
  <c r="J794" i="17"/>
  <c r="O794" i="17" s="1"/>
  <c r="J795" i="17"/>
  <c r="J796" i="17"/>
  <c r="J797" i="17"/>
  <c r="J798" i="17"/>
  <c r="J799" i="17"/>
  <c r="O799" i="17" s="1"/>
  <c r="J800" i="17"/>
  <c r="O800" i="17" s="1"/>
  <c r="J801" i="17"/>
  <c r="O801" i="17" s="1"/>
  <c r="J802" i="17"/>
  <c r="O802" i="17" s="1"/>
  <c r="J803" i="17"/>
  <c r="J804" i="17"/>
  <c r="J805" i="17"/>
  <c r="O805" i="17" s="1"/>
  <c r="J806" i="17"/>
  <c r="O806" i="17" s="1"/>
  <c r="J807" i="17"/>
  <c r="O807" i="17" s="1"/>
  <c r="J808" i="17"/>
  <c r="O808" i="17" s="1"/>
  <c r="J809" i="17"/>
  <c r="O809" i="17" s="1"/>
  <c r="J810" i="17"/>
  <c r="O810" i="17" s="1"/>
  <c r="J811" i="17"/>
  <c r="J812" i="17"/>
  <c r="J813" i="17"/>
  <c r="J814" i="17"/>
  <c r="J815" i="17"/>
  <c r="O815" i="17" s="1"/>
  <c r="J816" i="17"/>
  <c r="O816" i="17" s="1"/>
  <c r="J817" i="17"/>
  <c r="O817" i="17" s="1"/>
  <c r="J818" i="17"/>
  <c r="O818" i="17" s="1"/>
  <c r="J819" i="17"/>
  <c r="J820" i="17"/>
  <c r="J821" i="17"/>
  <c r="J822" i="17"/>
  <c r="J823" i="17"/>
  <c r="J824" i="17"/>
  <c r="O824" i="17" s="1"/>
  <c r="J825" i="17"/>
  <c r="O825" i="17" s="1"/>
  <c r="J826" i="17"/>
  <c r="O826" i="17" s="1"/>
  <c r="J827" i="17"/>
  <c r="J828" i="17"/>
  <c r="J829" i="17"/>
  <c r="J830" i="17"/>
  <c r="J831" i="17"/>
  <c r="O831" i="17" s="1"/>
  <c r="J832" i="17"/>
  <c r="O832" i="17" s="1"/>
  <c r="J833" i="17"/>
  <c r="O833" i="17" s="1"/>
  <c r="J834" i="17"/>
  <c r="O834" i="17" s="1"/>
  <c r="J835" i="17"/>
  <c r="J836" i="17"/>
  <c r="J837" i="17"/>
  <c r="J838" i="17"/>
  <c r="J839" i="17"/>
  <c r="O839" i="17" s="1"/>
  <c r="J840" i="17"/>
  <c r="O840" i="17" s="1"/>
  <c r="J841" i="17"/>
  <c r="O841" i="17" s="1"/>
  <c r="J842" i="17"/>
  <c r="O842" i="17" s="1"/>
  <c r="J843" i="17"/>
  <c r="J844" i="17"/>
  <c r="O844" i="17" s="1"/>
  <c r="J845" i="17"/>
  <c r="O845" i="17" s="1"/>
  <c r="J846" i="17"/>
  <c r="J847" i="17"/>
  <c r="O847" i="17" s="1"/>
  <c r="J848" i="17"/>
  <c r="O848" i="17" s="1"/>
  <c r="J849" i="17"/>
  <c r="O849" i="17" s="1"/>
  <c r="J850" i="17"/>
  <c r="O850" i="17" s="1"/>
  <c r="J851" i="17"/>
  <c r="J852" i="17"/>
  <c r="J853" i="17"/>
  <c r="J854" i="17"/>
  <c r="J855" i="17"/>
  <c r="O855" i="17" s="1"/>
  <c r="J856" i="17"/>
  <c r="O856" i="17" s="1"/>
  <c r="J857" i="17"/>
  <c r="O857" i="17" s="1"/>
  <c r="J858" i="17"/>
  <c r="O858" i="17" s="1"/>
  <c r="J859" i="17"/>
  <c r="J860" i="17"/>
  <c r="J861" i="17"/>
  <c r="O861" i="17" s="1"/>
  <c r="J862" i="17"/>
  <c r="J863" i="17"/>
  <c r="O863" i="17" s="1"/>
  <c r="J864" i="17"/>
  <c r="O864" i="17" s="1"/>
  <c r="J865" i="17"/>
  <c r="O865" i="17" s="1"/>
  <c r="J866" i="17"/>
  <c r="O866" i="17" s="1"/>
  <c r="J867" i="17"/>
  <c r="J868" i="17"/>
  <c r="J869" i="17"/>
  <c r="J870" i="17"/>
  <c r="J871" i="17"/>
  <c r="O871" i="17" s="1"/>
  <c r="J872" i="17"/>
  <c r="O872" i="17" s="1"/>
  <c r="J873" i="17"/>
  <c r="O873" i="17" s="1"/>
  <c r="J874" i="17"/>
  <c r="O874" i="17" s="1"/>
  <c r="J875" i="17"/>
  <c r="J876" i="17"/>
  <c r="O876" i="17" s="1"/>
  <c r="J877" i="17"/>
  <c r="J878" i="17"/>
  <c r="O878" i="17" s="1"/>
  <c r="J879" i="17"/>
  <c r="O879" i="17" s="1"/>
  <c r="J880" i="17"/>
  <c r="O880" i="17" s="1"/>
  <c r="J881" i="17"/>
  <c r="O881" i="17" s="1"/>
  <c r="J882" i="17"/>
  <c r="O882" i="17" s="1"/>
  <c r="J883" i="17"/>
  <c r="J884" i="17"/>
  <c r="J885" i="17"/>
  <c r="J886" i="17"/>
  <c r="O886" i="17" s="1"/>
  <c r="J887" i="17"/>
  <c r="O887" i="17" s="1"/>
  <c r="J888" i="17"/>
  <c r="O888" i="17" s="1"/>
  <c r="J889" i="17"/>
  <c r="O889" i="17" s="1"/>
  <c r="J890" i="17"/>
  <c r="O890" i="17" s="1"/>
  <c r="J891" i="17"/>
  <c r="J892" i="17"/>
  <c r="J893" i="17"/>
  <c r="J894" i="17"/>
  <c r="J895" i="17"/>
  <c r="O895" i="17" s="1"/>
  <c r="J896" i="17"/>
  <c r="O896" i="17" s="1"/>
  <c r="J897" i="17"/>
  <c r="O897" i="17" s="1"/>
  <c r="J898" i="17"/>
  <c r="O898" i="17" s="1"/>
  <c r="J899" i="17"/>
  <c r="J900" i="17"/>
  <c r="J901" i="17"/>
  <c r="J902" i="17"/>
  <c r="J903" i="17"/>
  <c r="O903" i="17" s="1"/>
  <c r="J904" i="17"/>
  <c r="O904" i="17" s="1"/>
  <c r="J905" i="17"/>
  <c r="O905" i="17" s="1"/>
  <c r="J906" i="17"/>
  <c r="O906" i="17" s="1"/>
  <c r="J907" i="17"/>
  <c r="J908" i="17"/>
  <c r="J909" i="17"/>
  <c r="J910" i="17"/>
  <c r="O910" i="17" s="1"/>
  <c r="J911" i="17"/>
  <c r="O911" i="17" s="1"/>
  <c r="J912" i="17"/>
  <c r="O912" i="17" s="1"/>
  <c r="J913" i="17"/>
  <c r="O913" i="17" s="1"/>
  <c r="J914" i="17"/>
  <c r="O914" i="17" s="1"/>
  <c r="J915" i="17"/>
  <c r="J916" i="17"/>
  <c r="J917" i="17"/>
  <c r="O917" i="17" s="1"/>
  <c r="J918" i="17"/>
  <c r="J919" i="17"/>
  <c r="O919" i="17" s="1"/>
  <c r="J920" i="17"/>
  <c r="O920" i="17" s="1"/>
  <c r="J921" i="17"/>
  <c r="O921" i="17" s="1"/>
  <c r="J922" i="17"/>
  <c r="O922" i="17" s="1"/>
  <c r="J923" i="17"/>
  <c r="J924" i="17"/>
  <c r="J925" i="17"/>
  <c r="J926" i="17"/>
  <c r="J927" i="17"/>
  <c r="O927" i="17" s="1"/>
  <c r="J928" i="17"/>
  <c r="O928" i="17" s="1"/>
  <c r="J929" i="17"/>
  <c r="O929" i="17" s="1"/>
  <c r="J930" i="17"/>
  <c r="O930" i="17" s="1"/>
  <c r="J931" i="17"/>
  <c r="J932" i="17"/>
  <c r="J933" i="17"/>
  <c r="J934" i="17"/>
  <c r="J935" i="17"/>
  <c r="O935" i="17" s="1"/>
  <c r="J936" i="17"/>
  <c r="O936" i="17" s="1"/>
  <c r="J937" i="17"/>
  <c r="O937" i="17" s="1"/>
  <c r="J938" i="17"/>
  <c r="O938" i="17" s="1"/>
  <c r="J939" i="17"/>
  <c r="J940" i="17"/>
  <c r="J941" i="17"/>
  <c r="O941" i="17" s="1"/>
  <c r="J942" i="17"/>
  <c r="J943" i="17"/>
  <c r="O943" i="17" s="1"/>
  <c r="J944" i="17"/>
  <c r="O944" i="17" s="1"/>
  <c r="J945" i="17"/>
  <c r="O945" i="17" s="1"/>
  <c r="J946" i="17"/>
  <c r="O946" i="17" s="1"/>
  <c r="J947" i="17"/>
  <c r="J948" i="17"/>
  <c r="J949" i="17"/>
  <c r="J950" i="17"/>
  <c r="J951" i="17"/>
  <c r="O951" i="17" s="1"/>
  <c r="J952" i="17"/>
  <c r="O952" i="17" s="1"/>
  <c r="J953" i="17"/>
  <c r="O953" i="17" s="1"/>
  <c r="J954" i="17"/>
  <c r="O954" i="17" s="1"/>
  <c r="J955" i="17"/>
  <c r="J956" i="17"/>
  <c r="J957" i="17"/>
  <c r="J958" i="17"/>
  <c r="J959" i="17"/>
  <c r="O959" i="17" s="1"/>
  <c r="J960" i="17"/>
  <c r="O960" i="17" s="1"/>
  <c r="J961" i="17"/>
  <c r="O961" i="17" s="1"/>
  <c r="J962" i="17"/>
  <c r="O962" i="17" s="1"/>
  <c r="J963" i="17"/>
  <c r="J964" i="17"/>
  <c r="J965" i="17"/>
  <c r="J966" i="17"/>
  <c r="J967" i="17"/>
  <c r="O967" i="17" s="1"/>
  <c r="J968" i="17"/>
  <c r="O968" i="17" s="1"/>
  <c r="J969" i="17"/>
  <c r="O969" i="17" s="1"/>
  <c r="J970" i="17"/>
  <c r="O970" i="17" s="1"/>
  <c r="J971" i="17"/>
  <c r="J972" i="17"/>
  <c r="J973" i="17"/>
  <c r="J974" i="17"/>
  <c r="J975" i="17"/>
  <c r="O975" i="17" s="1"/>
  <c r="J976" i="17"/>
  <c r="O976" i="17" s="1"/>
  <c r="J977" i="17"/>
  <c r="O977" i="17" s="1"/>
  <c r="J978" i="17"/>
  <c r="O978" i="17" s="1"/>
  <c r="J979" i="17"/>
  <c r="J980" i="17"/>
  <c r="J981" i="17"/>
  <c r="J982" i="17"/>
  <c r="J983" i="17"/>
  <c r="O983" i="17" s="1"/>
  <c r="J984" i="17"/>
  <c r="O984" i="17" s="1"/>
  <c r="J985" i="17"/>
  <c r="O985" i="17" s="1"/>
  <c r="J986" i="17"/>
  <c r="O986" i="17" s="1"/>
  <c r="J987" i="17"/>
  <c r="J988" i="17"/>
  <c r="J989" i="17"/>
  <c r="J990" i="17"/>
  <c r="J991" i="17"/>
  <c r="O991" i="17" s="1"/>
  <c r="J992" i="17"/>
  <c r="O992" i="17" s="1"/>
  <c r="J993" i="17"/>
  <c r="O993" i="17" s="1"/>
  <c r="J994" i="17"/>
  <c r="O994" i="17" s="1"/>
  <c r="J995" i="17"/>
  <c r="J996" i="17"/>
  <c r="J997" i="17"/>
  <c r="J998" i="17"/>
  <c r="J999" i="17"/>
  <c r="J1000" i="17"/>
  <c r="O1000" i="17" s="1"/>
  <c r="J1001" i="17"/>
  <c r="O1001" i="17" s="1"/>
  <c r="O65" i="17"/>
  <c r="I2" i="17"/>
  <c r="I3" i="17"/>
  <c r="N3" i="17" s="1"/>
  <c r="I4" i="17"/>
  <c r="N4" i="17" s="1"/>
  <c r="I5" i="17"/>
  <c r="N5" i="17" s="1"/>
  <c r="I6" i="17"/>
  <c r="N6" i="17" s="1"/>
  <c r="I7" i="17"/>
  <c r="N7" i="17" s="1"/>
  <c r="I8" i="17"/>
  <c r="I9" i="17"/>
  <c r="N9" i="17" s="1"/>
  <c r="I10" i="17"/>
  <c r="N10" i="17" s="1"/>
  <c r="I11" i="17"/>
  <c r="N11" i="17" s="1"/>
  <c r="I12" i="17"/>
  <c r="I13" i="17"/>
  <c r="I14" i="17"/>
  <c r="I15" i="17"/>
  <c r="N15" i="17" s="1"/>
  <c r="I16" i="17"/>
  <c r="N16" i="17" s="1"/>
  <c r="I17" i="17"/>
  <c r="N17" i="17" s="1"/>
  <c r="I18" i="17"/>
  <c r="I19" i="17"/>
  <c r="N19" i="17" s="1"/>
  <c r="I20" i="17"/>
  <c r="N20" i="17" s="1"/>
  <c r="I21" i="17"/>
  <c r="N21" i="17" s="1"/>
  <c r="I22" i="17"/>
  <c r="I23" i="17"/>
  <c r="N23" i="17" s="1"/>
  <c r="I24" i="17"/>
  <c r="I25" i="17"/>
  <c r="N25" i="17" s="1"/>
  <c r="I26" i="17"/>
  <c r="I27" i="17"/>
  <c r="N27" i="17" s="1"/>
  <c r="I28" i="17"/>
  <c r="N28" i="17" s="1"/>
  <c r="I29" i="17"/>
  <c r="N29" i="17" s="1"/>
  <c r="I30" i="17"/>
  <c r="I31" i="17"/>
  <c r="N31" i="17" s="1"/>
  <c r="I32" i="17"/>
  <c r="I33" i="17"/>
  <c r="N33" i="17" s="1"/>
  <c r="I34" i="17"/>
  <c r="I35" i="17"/>
  <c r="N35" i="17" s="1"/>
  <c r="I36" i="17"/>
  <c r="N36" i="17" s="1"/>
  <c r="I37" i="17"/>
  <c r="N37" i="17" s="1"/>
  <c r="I38" i="17"/>
  <c r="N38" i="17" s="1"/>
  <c r="I39" i="17"/>
  <c r="N39" i="17" s="1"/>
  <c r="I40" i="17"/>
  <c r="N40" i="17" s="1"/>
  <c r="I41" i="17"/>
  <c r="N41" i="17" s="1"/>
  <c r="I42" i="17"/>
  <c r="N42" i="17" s="1"/>
  <c r="I43" i="17"/>
  <c r="N43" i="17" s="1"/>
  <c r="I44" i="17"/>
  <c r="I45" i="17"/>
  <c r="N45" i="17" s="1"/>
  <c r="I46" i="17"/>
  <c r="I47" i="17"/>
  <c r="N47" i="17" s="1"/>
  <c r="I48" i="17"/>
  <c r="N48" i="17" s="1"/>
  <c r="I49" i="17"/>
  <c r="N49" i="17" s="1"/>
  <c r="I50" i="17"/>
  <c r="I51" i="17"/>
  <c r="N51" i="17" s="1"/>
  <c r="I52" i="17"/>
  <c r="I53" i="17"/>
  <c r="N53" i="17" s="1"/>
  <c r="I54" i="17"/>
  <c r="I55" i="17"/>
  <c r="N55" i="17" s="1"/>
  <c r="I56" i="17"/>
  <c r="I57" i="17"/>
  <c r="N57" i="17" s="1"/>
  <c r="I58" i="17"/>
  <c r="I59" i="17"/>
  <c r="N59" i="17" s="1"/>
  <c r="I60" i="17"/>
  <c r="I61" i="17"/>
  <c r="N61" i="17" s="1"/>
  <c r="I62" i="17"/>
  <c r="I63" i="17"/>
  <c r="N63" i="17" s="1"/>
  <c r="I64" i="17"/>
  <c r="N64" i="17" s="1"/>
  <c r="I65" i="17"/>
  <c r="N65" i="17" s="1"/>
  <c r="I66" i="17"/>
  <c r="I67" i="17"/>
  <c r="I68" i="17"/>
  <c r="I69" i="17"/>
  <c r="N69" i="17" s="1"/>
  <c r="I70" i="17"/>
  <c r="N70" i="17" s="1"/>
  <c r="I71" i="17"/>
  <c r="N71" i="17" s="1"/>
  <c r="I72" i="17"/>
  <c r="I73" i="17"/>
  <c r="N73" i="17" s="1"/>
  <c r="I74" i="17"/>
  <c r="N74" i="17" s="1"/>
  <c r="I75" i="17"/>
  <c r="N75" i="17" s="1"/>
  <c r="I76" i="17"/>
  <c r="I77" i="17"/>
  <c r="N77" i="17" s="1"/>
  <c r="I78" i="17"/>
  <c r="N78" i="17" s="1"/>
  <c r="I79" i="17"/>
  <c r="N79" i="17" s="1"/>
  <c r="I80" i="17"/>
  <c r="N80" i="17" s="1"/>
  <c r="I81" i="17"/>
  <c r="N81" i="17" s="1"/>
  <c r="I82" i="17"/>
  <c r="I83" i="17"/>
  <c r="N83" i="17" s="1"/>
  <c r="I84" i="17"/>
  <c r="I85" i="17"/>
  <c r="I86" i="17"/>
  <c r="N86" i="17" s="1"/>
  <c r="I87" i="17"/>
  <c r="N87" i="17" s="1"/>
  <c r="I88" i="17"/>
  <c r="I89" i="17"/>
  <c r="N89" i="17" s="1"/>
  <c r="I90" i="17"/>
  <c r="I91" i="17"/>
  <c r="N91" i="17" s="1"/>
  <c r="I92" i="17"/>
  <c r="N92" i="17" s="1"/>
  <c r="I93" i="17"/>
  <c r="N93" i="17" s="1"/>
  <c r="I94" i="17"/>
  <c r="N94" i="17" s="1"/>
  <c r="I95" i="17"/>
  <c r="N95" i="17" s="1"/>
  <c r="I96" i="17"/>
  <c r="I97" i="17"/>
  <c r="N97" i="17" s="1"/>
  <c r="I98" i="17"/>
  <c r="I99" i="17"/>
  <c r="N99" i="17" s="1"/>
  <c r="I100" i="17"/>
  <c r="N100" i="17" s="1"/>
  <c r="I101" i="17"/>
  <c r="N101" i="17" s="1"/>
  <c r="I102" i="17"/>
  <c r="I103" i="17"/>
  <c r="N103" i="17" s="1"/>
  <c r="I104" i="17"/>
  <c r="I105" i="17"/>
  <c r="N105" i="17" s="1"/>
  <c r="I106" i="17"/>
  <c r="I107" i="17"/>
  <c r="N107" i="17" s="1"/>
  <c r="I108" i="17"/>
  <c r="I109" i="17"/>
  <c r="I110" i="17"/>
  <c r="N110" i="17" s="1"/>
  <c r="I111" i="17"/>
  <c r="N111" i="17" s="1"/>
  <c r="I112" i="17"/>
  <c r="N112" i="17" s="1"/>
  <c r="I113" i="17"/>
  <c r="N113" i="17" s="1"/>
  <c r="I114" i="17"/>
  <c r="N114" i="17" s="1"/>
  <c r="I115" i="17"/>
  <c r="N115" i="17" s="1"/>
  <c r="I116" i="17"/>
  <c r="I117" i="17"/>
  <c r="N117" i="17" s="1"/>
  <c r="I118" i="17"/>
  <c r="N118" i="17" s="1"/>
  <c r="I119" i="17"/>
  <c r="N119" i="17" s="1"/>
  <c r="I120" i="17"/>
  <c r="I121" i="17"/>
  <c r="N121" i="17" s="1"/>
  <c r="I122" i="17"/>
  <c r="I123" i="17"/>
  <c r="N123" i="17" s="1"/>
  <c r="I124" i="17"/>
  <c r="I125" i="17"/>
  <c r="N125" i="17" s="1"/>
  <c r="I126" i="17"/>
  <c r="N126" i="17" s="1"/>
  <c r="I127" i="17"/>
  <c r="N127" i="17" s="1"/>
  <c r="I128" i="17"/>
  <c r="N128" i="17" s="1"/>
  <c r="I129" i="17"/>
  <c r="N129" i="17" s="1"/>
  <c r="I130" i="17"/>
  <c r="I131" i="17"/>
  <c r="N131" i="17" s="1"/>
  <c r="I132" i="17"/>
  <c r="N132" i="17" s="1"/>
  <c r="I133" i="17"/>
  <c r="N133" i="17" s="1"/>
  <c r="I134" i="17"/>
  <c r="I135" i="17"/>
  <c r="N135" i="17" s="1"/>
  <c r="I136" i="17"/>
  <c r="I137" i="17"/>
  <c r="N137" i="17" s="1"/>
  <c r="I138" i="17"/>
  <c r="I139" i="17"/>
  <c r="N139" i="17" s="1"/>
  <c r="I140" i="17"/>
  <c r="I141" i="17"/>
  <c r="I142" i="17"/>
  <c r="N142" i="17" s="1"/>
  <c r="I143" i="17"/>
  <c r="N143" i="17" s="1"/>
  <c r="I144" i="17"/>
  <c r="I145" i="17"/>
  <c r="N145" i="17" s="1"/>
  <c r="I146" i="17"/>
  <c r="I147" i="17"/>
  <c r="N147" i="17" s="1"/>
  <c r="I148" i="17"/>
  <c r="I149" i="17"/>
  <c r="N149" i="17" s="1"/>
  <c r="I150" i="17"/>
  <c r="I151" i="17"/>
  <c r="N151" i="17" s="1"/>
  <c r="I152" i="17"/>
  <c r="I153" i="17"/>
  <c r="N153" i="17" s="1"/>
  <c r="I154" i="17"/>
  <c r="N154" i="17" s="1"/>
  <c r="I155" i="17"/>
  <c r="N155" i="17" s="1"/>
  <c r="I156" i="17"/>
  <c r="I157" i="17"/>
  <c r="N157" i="17" s="1"/>
  <c r="I158" i="17"/>
  <c r="N158" i="17" s="1"/>
  <c r="I159" i="17"/>
  <c r="N159" i="17" s="1"/>
  <c r="I160" i="17"/>
  <c r="N160" i="17" s="1"/>
  <c r="I161" i="17"/>
  <c r="N161" i="17" s="1"/>
  <c r="I162" i="17"/>
  <c r="I163" i="17"/>
  <c r="I164" i="17"/>
  <c r="I165" i="17"/>
  <c r="N165" i="17" s="1"/>
  <c r="I166" i="17"/>
  <c r="N166" i="17" s="1"/>
  <c r="I167" i="17"/>
  <c r="N167" i="17" s="1"/>
  <c r="I168" i="17"/>
  <c r="N168" i="17" s="1"/>
  <c r="I169" i="17"/>
  <c r="N169" i="17" s="1"/>
  <c r="I170" i="17"/>
  <c r="I171" i="17"/>
  <c r="N171" i="17" s="1"/>
  <c r="I172" i="17"/>
  <c r="N172" i="17" s="1"/>
  <c r="I173" i="17"/>
  <c r="I174" i="17"/>
  <c r="I175" i="17"/>
  <c r="N175" i="17" s="1"/>
  <c r="I176" i="17"/>
  <c r="N176" i="17" s="1"/>
  <c r="I177" i="17"/>
  <c r="N177" i="17" s="1"/>
  <c r="I178" i="17"/>
  <c r="I179" i="17"/>
  <c r="N179" i="17" s="1"/>
  <c r="I180" i="17"/>
  <c r="N180" i="17" s="1"/>
  <c r="I181" i="17"/>
  <c r="N181" i="17" s="1"/>
  <c r="I182" i="17"/>
  <c r="N182" i="17" s="1"/>
  <c r="I183" i="17"/>
  <c r="N183" i="17" s="1"/>
  <c r="I184" i="17"/>
  <c r="I185" i="17"/>
  <c r="N185" i="17" s="1"/>
  <c r="I186" i="17"/>
  <c r="I187" i="17"/>
  <c r="N187" i="17" s="1"/>
  <c r="I188" i="17"/>
  <c r="I189" i="17"/>
  <c r="I190" i="17"/>
  <c r="N190" i="17" s="1"/>
  <c r="I191" i="17"/>
  <c r="N191" i="17" s="1"/>
  <c r="I192" i="17"/>
  <c r="I193" i="17"/>
  <c r="N193" i="17" s="1"/>
  <c r="I194" i="17"/>
  <c r="I195" i="17"/>
  <c r="N195" i="17" s="1"/>
  <c r="I196" i="17"/>
  <c r="I197" i="17"/>
  <c r="N197" i="17" s="1"/>
  <c r="I198" i="17"/>
  <c r="N198" i="17" s="1"/>
  <c r="I199" i="17"/>
  <c r="N199" i="17" s="1"/>
  <c r="I200" i="17"/>
  <c r="N200" i="17" s="1"/>
  <c r="I201" i="17"/>
  <c r="N201" i="17" s="1"/>
  <c r="I202" i="17"/>
  <c r="I203" i="17"/>
  <c r="N203" i="17" s="1"/>
  <c r="I204" i="17"/>
  <c r="I205" i="17"/>
  <c r="I206" i="17"/>
  <c r="N206" i="17" s="1"/>
  <c r="I207" i="17"/>
  <c r="N207" i="17" s="1"/>
  <c r="I208" i="17"/>
  <c r="I209" i="17"/>
  <c r="N209" i="17" s="1"/>
  <c r="I210" i="17"/>
  <c r="I211" i="17"/>
  <c r="N211" i="17" s="1"/>
  <c r="I212" i="17"/>
  <c r="I213" i="17"/>
  <c r="I214" i="17"/>
  <c r="N214" i="17" s="1"/>
  <c r="I215" i="17"/>
  <c r="N215" i="17" s="1"/>
  <c r="I216" i="17"/>
  <c r="I217" i="17"/>
  <c r="N217" i="17" s="1"/>
  <c r="I218" i="17"/>
  <c r="I219" i="17"/>
  <c r="N219" i="17" s="1"/>
  <c r="I220" i="17"/>
  <c r="N220" i="17" s="1"/>
  <c r="I221" i="17"/>
  <c r="N221" i="17" s="1"/>
  <c r="I222" i="17"/>
  <c r="N222" i="17" s="1"/>
  <c r="I223" i="17"/>
  <c r="N223" i="17" s="1"/>
  <c r="I224" i="17"/>
  <c r="I225" i="17"/>
  <c r="N225" i="17" s="1"/>
  <c r="I226" i="17"/>
  <c r="I227" i="17"/>
  <c r="N227" i="17" s="1"/>
  <c r="I228" i="17"/>
  <c r="N228" i="17" s="1"/>
  <c r="I229" i="17"/>
  <c r="N229" i="17" s="1"/>
  <c r="I230" i="17"/>
  <c r="I231" i="17"/>
  <c r="N231" i="17" s="1"/>
  <c r="I232" i="17"/>
  <c r="N232" i="17" s="1"/>
  <c r="I233" i="17"/>
  <c r="N233" i="17" s="1"/>
  <c r="I234" i="17"/>
  <c r="N234" i="17" s="1"/>
  <c r="I235" i="17"/>
  <c r="N235" i="17" s="1"/>
  <c r="I236" i="17"/>
  <c r="I237" i="17"/>
  <c r="N237" i="17" s="1"/>
  <c r="I238" i="17"/>
  <c r="N238" i="17" s="1"/>
  <c r="I239" i="17"/>
  <c r="N239" i="17" s="1"/>
  <c r="I240" i="17"/>
  <c r="I241" i="17"/>
  <c r="N241" i="17" s="1"/>
  <c r="I242" i="17"/>
  <c r="I243" i="17"/>
  <c r="N243" i="17" s="1"/>
  <c r="I244" i="17"/>
  <c r="I245" i="17"/>
  <c r="N245" i="17" s="1"/>
  <c r="I246" i="17"/>
  <c r="N246" i="17" s="1"/>
  <c r="I247" i="17"/>
  <c r="N247" i="17" s="1"/>
  <c r="I248" i="17"/>
  <c r="I249" i="17"/>
  <c r="N249" i="17" s="1"/>
  <c r="I250" i="17"/>
  <c r="I251" i="17"/>
  <c r="N251" i="17" s="1"/>
  <c r="I252" i="17"/>
  <c r="I253" i="17"/>
  <c r="N253" i="17" s="1"/>
  <c r="I254" i="17"/>
  <c r="N254" i="17" s="1"/>
  <c r="I255" i="17"/>
  <c r="N255" i="17" s="1"/>
  <c r="I256" i="17"/>
  <c r="N256" i="17" s="1"/>
  <c r="I257" i="17"/>
  <c r="N257" i="17" s="1"/>
  <c r="I258" i="17"/>
  <c r="I259" i="17"/>
  <c r="N259" i="17" s="1"/>
  <c r="I260" i="17"/>
  <c r="I261" i="17"/>
  <c r="N261" i="17" s="1"/>
  <c r="I262" i="17"/>
  <c r="N262" i="17" s="1"/>
  <c r="I263" i="17"/>
  <c r="N263" i="17" s="1"/>
  <c r="I264" i="17"/>
  <c r="N264" i="17" s="1"/>
  <c r="I265" i="17"/>
  <c r="N265" i="17" s="1"/>
  <c r="I266" i="17"/>
  <c r="I267" i="17"/>
  <c r="I268" i="17"/>
  <c r="N268" i="17" s="1"/>
  <c r="I269" i="17"/>
  <c r="I270" i="17"/>
  <c r="I271" i="17"/>
  <c r="N271" i="17" s="1"/>
  <c r="I272" i="17"/>
  <c r="N272" i="17" s="1"/>
  <c r="I273" i="17"/>
  <c r="N273" i="17" s="1"/>
  <c r="I274" i="17"/>
  <c r="I275" i="17"/>
  <c r="N275" i="17" s="1"/>
  <c r="I276" i="17"/>
  <c r="I277" i="17"/>
  <c r="N277" i="17" s="1"/>
  <c r="I278" i="17"/>
  <c r="N278" i="17" s="1"/>
  <c r="I279" i="17"/>
  <c r="N279" i="17" s="1"/>
  <c r="I280" i="17"/>
  <c r="N280" i="17" s="1"/>
  <c r="I281" i="17"/>
  <c r="N281" i="17" s="1"/>
  <c r="I282" i="17"/>
  <c r="I283" i="17"/>
  <c r="N283" i="17" s="1"/>
  <c r="I284" i="17"/>
  <c r="I285" i="17"/>
  <c r="N285" i="17" s="1"/>
  <c r="I286" i="17"/>
  <c r="N286" i="17" s="1"/>
  <c r="I287" i="17"/>
  <c r="N287" i="17" s="1"/>
  <c r="I288" i="17"/>
  <c r="N288" i="17" s="1"/>
  <c r="I289" i="17"/>
  <c r="N289" i="17" s="1"/>
  <c r="I290" i="17"/>
  <c r="N290" i="17" s="1"/>
  <c r="I291" i="17"/>
  <c r="N291" i="17" s="1"/>
  <c r="I292" i="17"/>
  <c r="I293" i="17"/>
  <c r="N293" i="17" s="1"/>
  <c r="I294" i="17"/>
  <c r="I295" i="17"/>
  <c r="N295" i="17" s="1"/>
  <c r="I296" i="17"/>
  <c r="N296" i="17" s="1"/>
  <c r="I297" i="17"/>
  <c r="N297" i="17" s="1"/>
  <c r="I298" i="17"/>
  <c r="I299" i="17"/>
  <c r="N299" i="17" s="1"/>
  <c r="I300" i="17"/>
  <c r="I301" i="17"/>
  <c r="N301" i="17" s="1"/>
  <c r="I302" i="17"/>
  <c r="N302" i="17" s="1"/>
  <c r="I303" i="17"/>
  <c r="N303" i="17" s="1"/>
  <c r="I304" i="17"/>
  <c r="I305" i="17"/>
  <c r="N305" i="17" s="1"/>
  <c r="I306" i="17"/>
  <c r="I307" i="17"/>
  <c r="N307" i="17" s="1"/>
  <c r="I308" i="17"/>
  <c r="I309" i="17"/>
  <c r="I310" i="17"/>
  <c r="N310" i="17" s="1"/>
  <c r="I311" i="17"/>
  <c r="N311" i="17" s="1"/>
  <c r="I312" i="17"/>
  <c r="N312" i="17" s="1"/>
  <c r="I313" i="17"/>
  <c r="N313" i="17" s="1"/>
  <c r="I314" i="17"/>
  <c r="N314" i="17" s="1"/>
  <c r="I315" i="17"/>
  <c r="N315" i="17" s="1"/>
  <c r="I316" i="17"/>
  <c r="I317" i="17"/>
  <c r="N317" i="17" s="1"/>
  <c r="I318" i="17"/>
  <c r="I319" i="17"/>
  <c r="N319" i="17" s="1"/>
  <c r="I320" i="17"/>
  <c r="I321" i="17"/>
  <c r="N321" i="17" s="1"/>
  <c r="I322" i="17"/>
  <c r="N322" i="17" s="1"/>
  <c r="I323" i="17"/>
  <c r="N323" i="17" s="1"/>
  <c r="I324" i="17"/>
  <c r="I325" i="17"/>
  <c r="N325" i="17" s="1"/>
  <c r="I326" i="17"/>
  <c r="N326" i="17" s="1"/>
  <c r="I327" i="17"/>
  <c r="N327" i="17" s="1"/>
  <c r="I328" i="17"/>
  <c r="N328" i="17" s="1"/>
  <c r="I329" i="17"/>
  <c r="N329" i="17" s="1"/>
  <c r="I330" i="17"/>
  <c r="I331" i="17"/>
  <c r="N331" i="17" s="1"/>
  <c r="I332" i="17"/>
  <c r="N332" i="17" s="1"/>
  <c r="I333" i="17"/>
  <c r="I334" i="17"/>
  <c r="N334" i="17" s="1"/>
  <c r="I335" i="17"/>
  <c r="N335" i="17" s="1"/>
  <c r="I336" i="17"/>
  <c r="N336" i="17" s="1"/>
  <c r="I337" i="17"/>
  <c r="N337" i="17" s="1"/>
  <c r="I338" i="17"/>
  <c r="I339" i="17"/>
  <c r="I340" i="17"/>
  <c r="I341" i="17"/>
  <c r="N341" i="17" s="1"/>
  <c r="I342" i="17"/>
  <c r="I343" i="17"/>
  <c r="N343" i="17" s="1"/>
  <c r="I344" i="17"/>
  <c r="N344" i="17" s="1"/>
  <c r="I345" i="17"/>
  <c r="N345" i="17" s="1"/>
  <c r="I346" i="17"/>
  <c r="I347" i="17"/>
  <c r="N347" i="17" s="1"/>
  <c r="I348" i="17"/>
  <c r="I349" i="17"/>
  <c r="N349" i="17" s="1"/>
  <c r="I350" i="17"/>
  <c r="N350" i="17" s="1"/>
  <c r="I351" i="17"/>
  <c r="N351" i="17" s="1"/>
  <c r="I352" i="17"/>
  <c r="N352" i="17" s="1"/>
  <c r="I353" i="17"/>
  <c r="N353" i="17" s="1"/>
  <c r="I354" i="17"/>
  <c r="I355" i="17"/>
  <c r="N355" i="17" s="1"/>
  <c r="I356" i="17"/>
  <c r="I357" i="17"/>
  <c r="N357" i="17" s="1"/>
  <c r="I358" i="17"/>
  <c r="I359" i="17"/>
  <c r="N359" i="17" s="1"/>
  <c r="I360" i="17"/>
  <c r="I361" i="17"/>
  <c r="N361" i="17" s="1"/>
  <c r="I362" i="17"/>
  <c r="I363" i="17"/>
  <c r="N363" i="17" s="1"/>
  <c r="I364" i="17"/>
  <c r="I365" i="17"/>
  <c r="N365" i="17" s="1"/>
  <c r="I366" i="17"/>
  <c r="N366" i="17" s="1"/>
  <c r="I367" i="17"/>
  <c r="N367" i="17" s="1"/>
  <c r="I368" i="17"/>
  <c r="N368" i="17" s="1"/>
  <c r="I369" i="17"/>
  <c r="N369" i="17" s="1"/>
  <c r="I370" i="17"/>
  <c r="I371" i="17"/>
  <c r="N371" i="17" s="1"/>
  <c r="I372" i="17"/>
  <c r="I373" i="17"/>
  <c r="I374" i="17"/>
  <c r="N374" i="17" s="1"/>
  <c r="I375" i="17"/>
  <c r="N375" i="17" s="1"/>
  <c r="I376" i="17"/>
  <c r="N376" i="17" s="1"/>
  <c r="I377" i="17"/>
  <c r="N377" i="17" s="1"/>
  <c r="I378" i="17"/>
  <c r="I379" i="17"/>
  <c r="N379" i="17" s="1"/>
  <c r="I380" i="17"/>
  <c r="I381" i="17"/>
  <c r="N381" i="17" s="1"/>
  <c r="I382" i="17"/>
  <c r="N382" i="17" s="1"/>
  <c r="I383" i="17"/>
  <c r="N383" i="17" s="1"/>
  <c r="I384" i="17"/>
  <c r="I385" i="17"/>
  <c r="N385" i="17" s="1"/>
  <c r="I386" i="17"/>
  <c r="N386" i="17" s="1"/>
  <c r="I387" i="17"/>
  <c r="N387" i="17" s="1"/>
  <c r="I388" i="17"/>
  <c r="I389" i="17"/>
  <c r="N389" i="17" s="1"/>
  <c r="I390" i="17"/>
  <c r="N390" i="17" s="1"/>
  <c r="I391" i="17"/>
  <c r="N391" i="17" s="1"/>
  <c r="I392" i="17"/>
  <c r="N392" i="17" s="1"/>
  <c r="I393" i="17"/>
  <c r="N393" i="17" s="1"/>
  <c r="I394" i="17"/>
  <c r="I395" i="17"/>
  <c r="N395" i="17" s="1"/>
  <c r="I396" i="17"/>
  <c r="I397" i="17"/>
  <c r="N397" i="17" s="1"/>
  <c r="I398" i="17"/>
  <c r="N398" i="17" s="1"/>
  <c r="I399" i="17"/>
  <c r="N399" i="17" s="1"/>
  <c r="I400" i="17"/>
  <c r="I401" i="17"/>
  <c r="N401" i="17" s="1"/>
  <c r="I402" i="17"/>
  <c r="I403" i="17"/>
  <c r="N403" i="17" s="1"/>
  <c r="I404" i="17"/>
  <c r="I405" i="17"/>
  <c r="N405" i="17" s="1"/>
  <c r="I406" i="17"/>
  <c r="N406" i="17" s="1"/>
  <c r="I407" i="17"/>
  <c r="N407" i="17" s="1"/>
  <c r="I408" i="17"/>
  <c r="I409" i="17"/>
  <c r="N409" i="17" s="1"/>
  <c r="I410" i="17"/>
  <c r="I411" i="17"/>
  <c r="N411" i="17" s="1"/>
  <c r="I412" i="17"/>
  <c r="N412" i="17" s="1"/>
  <c r="I413" i="17"/>
  <c r="N413" i="17" s="1"/>
  <c r="I414" i="17"/>
  <c r="I415" i="17"/>
  <c r="N415" i="17" s="1"/>
  <c r="I416" i="17"/>
  <c r="N416" i="17" s="1"/>
  <c r="I417" i="17"/>
  <c r="N417" i="17" s="1"/>
  <c r="I418" i="17"/>
  <c r="I419" i="17"/>
  <c r="N419" i="17" s="1"/>
  <c r="I420" i="17"/>
  <c r="I421" i="17"/>
  <c r="N421" i="17" s="1"/>
  <c r="I422" i="17"/>
  <c r="N422" i="17" s="1"/>
  <c r="I423" i="17"/>
  <c r="N423" i="17" s="1"/>
  <c r="I424" i="17"/>
  <c r="N424" i="17" s="1"/>
  <c r="I425" i="17"/>
  <c r="N425" i="17" s="1"/>
  <c r="I426" i="17"/>
  <c r="I427" i="17"/>
  <c r="N427" i="17" s="1"/>
  <c r="I428" i="17"/>
  <c r="I429" i="17"/>
  <c r="N429" i="17" s="1"/>
  <c r="I430" i="17"/>
  <c r="I431" i="17"/>
  <c r="N431" i="17" s="1"/>
  <c r="I432" i="17"/>
  <c r="N432" i="17" s="1"/>
  <c r="I433" i="17"/>
  <c r="N433" i="17" s="1"/>
  <c r="I434" i="17"/>
  <c r="I435" i="17"/>
  <c r="N435" i="17" s="1"/>
  <c r="I436" i="17"/>
  <c r="I437" i="17"/>
  <c r="N437" i="17" s="1"/>
  <c r="I438" i="17"/>
  <c r="N438" i="17" s="1"/>
  <c r="I439" i="17"/>
  <c r="N439" i="17" s="1"/>
  <c r="I440" i="17"/>
  <c r="I441" i="17"/>
  <c r="N441" i="17" s="1"/>
  <c r="I442" i="17"/>
  <c r="I443" i="17"/>
  <c r="N443" i="17" s="1"/>
  <c r="I444" i="17"/>
  <c r="I445" i="17"/>
  <c r="N445" i="17" s="1"/>
  <c r="I446" i="17"/>
  <c r="I447" i="17"/>
  <c r="N447" i="17" s="1"/>
  <c r="I448" i="17"/>
  <c r="N448" i="17" s="1"/>
  <c r="I449" i="17"/>
  <c r="N449" i="17" s="1"/>
  <c r="I450" i="17"/>
  <c r="I451" i="17"/>
  <c r="N451" i="17" s="1"/>
  <c r="I452" i="17"/>
  <c r="I453" i="17"/>
  <c r="N453" i="17" s="1"/>
  <c r="I454" i="17"/>
  <c r="I455" i="17"/>
  <c r="N455" i="17" s="1"/>
  <c r="I456" i="17"/>
  <c r="I457" i="17"/>
  <c r="N457" i="17" s="1"/>
  <c r="I458" i="17"/>
  <c r="I459" i="17"/>
  <c r="N459" i="17" s="1"/>
  <c r="I460" i="17"/>
  <c r="I461" i="17"/>
  <c r="N461" i="17" s="1"/>
  <c r="I462" i="17"/>
  <c r="N462" i="17" s="1"/>
  <c r="I463" i="17"/>
  <c r="I464" i="17"/>
  <c r="I465" i="17"/>
  <c r="N465" i="17" s="1"/>
  <c r="I466" i="17"/>
  <c r="I467" i="17"/>
  <c r="N467" i="17" s="1"/>
  <c r="I468" i="17"/>
  <c r="I469" i="17"/>
  <c r="N469" i="17" s="1"/>
  <c r="I470" i="17"/>
  <c r="N470" i="17" s="1"/>
  <c r="I471" i="17"/>
  <c r="N471" i="17" s="1"/>
  <c r="I472" i="17"/>
  <c r="N472" i="17" s="1"/>
  <c r="I473" i="17"/>
  <c r="N473" i="17" s="1"/>
  <c r="I474" i="17"/>
  <c r="I475" i="17"/>
  <c r="N475" i="17" s="1"/>
  <c r="I476" i="17"/>
  <c r="I477" i="17"/>
  <c r="N477" i="17" s="1"/>
  <c r="I478" i="17"/>
  <c r="N478" i="17" s="1"/>
  <c r="I479" i="17"/>
  <c r="N479" i="17" s="1"/>
  <c r="I480" i="17"/>
  <c r="I481" i="17"/>
  <c r="N481" i="17" s="1"/>
  <c r="I482" i="17"/>
  <c r="I483" i="17"/>
  <c r="N483" i="17" s="1"/>
  <c r="I484" i="17"/>
  <c r="I485" i="17"/>
  <c r="N485" i="17" s="1"/>
  <c r="I486" i="17"/>
  <c r="N486" i="17" s="1"/>
  <c r="I487" i="17"/>
  <c r="N487" i="17" s="1"/>
  <c r="I488" i="17"/>
  <c r="N488" i="17" s="1"/>
  <c r="I489" i="17"/>
  <c r="N489" i="17" s="1"/>
  <c r="I490" i="17"/>
  <c r="N490" i="17" s="1"/>
  <c r="I491" i="17"/>
  <c r="N491" i="17" s="1"/>
  <c r="I492" i="17"/>
  <c r="N492" i="17" s="1"/>
  <c r="I493" i="17"/>
  <c r="I494" i="17"/>
  <c r="N494" i="17" s="1"/>
  <c r="I495" i="17"/>
  <c r="N495" i="17" s="1"/>
  <c r="I496" i="17"/>
  <c r="N496" i="17" s="1"/>
  <c r="I497" i="17"/>
  <c r="N497" i="17" s="1"/>
  <c r="I498" i="17"/>
  <c r="I499" i="17"/>
  <c r="N499" i="17" s="1"/>
  <c r="I500" i="17"/>
  <c r="I501" i="17"/>
  <c r="I502" i="17"/>
  <c r="N502" i="17" s="1"/>
  <c r="I503" i="17"/>
  <c r="N503" i="17" s="1"/>
  <c r="I504" i="17"/>
  <c r="N504" i="17" s="1"/>
  <c r="I505" i="17"/>
  <c r="N505" i="17" s="1"/>
  <c r="I506" i="17"/>
  <c r="I507" i="17"/>
  <c r="N507" i="17" s="1"/>
  <c r="I508" i="17"/>
  <c r="N508" i="17" s="1"/>
  <c r="I509" i="17"/>
  <c r="N509" i="17" s="1"/>
  <c r="I510" i="17"/>
  <c r="N510" i="17" s="1"/>
  <c r="I511" i="17"/>
  <c r="N511" i="17" s="1"/>
  <c r="I512" i="17"/>
  <c r="N512" i="17" s="1"/>
  <c r="I513" i="17"/>
  <c r="N513" i="17" s="1"/>
  <c r="I514" i="17"/>
  <c r="I515" i="17"/>
  <c r="N515" i="17" s="1"/>
  <c r="I516" i="17"/>
  <c r="N516" i="17" s="1"/>
  <c r="I517" i="17"/>
  <c r="N517" i="17" s="1"/>
  <c r="I518" i="17"/>
  <c r="I519" i="17"/>
  <c r="N519" i="17" s="1"/>
  <c r="I520" i="17"/>
  <c r="N520" i="17" s="1"/>
  <c r="I521" i="17"/>
  <c r="N521" i="17" s="1"/>
  <c r="I522" i="17"/>
  <c r="I523" i="17"/>
  <c r="N523" i="17" s="1"/>
  <c r="I524" i="17"/>
  <c r="N524" i="17" s="1"/>
  <c r="I525" i="17"/>
  <c r="N525" i="17" s="1"/>
  <c r="I526" i="17"/>
  <c r="N526" i="17" s="1"/>
  <c r="I527" i="17"/>
  <c r="N527" i="17" s="1"/>
  <c r="I528" i="17"/>
  <c r="N528" i="17" s="1"/>
  <c r="I529" i="17"/>
  <c r="N529" i="17" s="1"/>
  <c r="I530" i="17"/>
  <c r="I531" i="17"/>
  <c r="N531" i="17" s="1"/>
  <c r="I532" i="17"/>
  <c r="I533" i="17"/>
  <c r="N533" i="17" s="1"/>
  <c r="I534" i="17"/>
  <c r="N534" i="17" s="1"/>
  <c r="I535" i="17"/>
  <c r="N535" i="17" s="1"/>
  <c r="I536" i="17"/>
  <c r="N536" i="17" s="1"/>
  <c r="I537" i="17"/>
  <c r="N537" i="17" s="1"/>
  <c r="I538" i="17"/>
  <c r="I539" i="17"/>
  <c r="N539" i="17" s="1"/>
  <c r="I540" i="17"/>
  <c r="I541" i="17"/>
  <c r="I542" i="17"/>
  <c r="N542" i="17" s="1"/>
  <c r="I543" i="17"/>
  <c r="N543" i="17" s="1"/>
  <c r="I544" i="17"/>
  <c r="I545" i="17"/>
  <c r="N545" i="17" s="1"/>
  <c r="I546" i="17"/>
  <c r="I547" i="17"/>
  <c r="N547" i="17" s="1"/>
  <c r="I548" i="17"/>
  <c r="N548" i="17" s="1"/>
  <c r="I549" i="17"/>
  <c r="N549" i="17" s="1"/>
  <c r="I550" i="17"/>
  <c r="N550" i="17" s="1"/>
  <c r="I551" i="17"/>
  <c r="N551" i="17" s="1"/>
  <c r="I552" i="17"/>
  <c r="N552" i="17" s="1"/>
  <c r="I553" i="17"/>
  <c r="N553" i="17" s="1"/>
  <c r="I554" i="17"/>
  <c r="I555" i="17"/>
  <c r="N555" i="17" s="1"/>
  <c r="I556" i="17"/>
  <c r="N556" i="17" s="1"/>
  <c r="I557" i="17"/>
  <c r="N557" i="17" s="1"/>
  <c r="I558" i="17"/>
  <c r="I559" i="17"/>
  <c r="N559" i="17" s="1"/>
  <c r="I560" i="17"/>
  <c r="N560" i="17" s="1"/>
  <c r="I561" i="17"/>
  <c r="N561" i="17" s="1"/>
  <c r="I562" i="17"/>
  <c r="I563" i="17"/>
  <c r="N563" i="17" s="1"/>
  <c r="I564" i="17"/>
  <c r="I565" i="17"/>
  <c r="I566" i="17"/>
  <c r="N566" i="17" s="1"/>
  <c r="I567" i="17"/>
  <c r="N567" i="17" s="1"/>
  <c r="I568" i="17"/>
  <c r="I569" i="17"/>
  <c r="N569" i="17" s="1"/>
  <c r="I570" i="17"/>
  <c r="N570" i="17" s="1"/>
  <c r="I571" i="17"/>
  <c r="N571" i="17" s="1"/>
  <c r="I572" i="17"/>
  <c r="N572" i="17" s="1"/>
  <c r="I573" i="17"/>
  <c r="N573" i="17" s="1"/>
  <c r="I574" i="17"/>
  <c r="N574" i="17" s="1"/>
  <c r="I575" i="17"/>
  <c r="N575" i="17" s="1"/>
  <c r="I576" i="17"/>
  <c r="N576" i="17" s="1"/>
  <c r="I577" i="17"/>
  <c r="N577" i="17" s="1"/>
  <c r="I578" i="17"/>
  <c r="I579" i="17"/>
  <c r="N579" i="17" s="1"/>
  <c r="I580" i="17"/>
  <c r="N580" i="17" s="1"/>
  <c r="I581" i="17"/>
  <c r="N581" i="17" s="1"/>
  <c r="I582" i="17"/>
  <c r="I583" i="17"/>
  <c r="N583" i="17" s="1"/>
  <c r="I584" i="17"/>
  <c r="N584" i="17" s="1"/>
  <c r="I585" i="17"/>
  <c r="N585" i="17" s="1"/>
  <c r="I586" i="17"/>
  <c r="I587" i="17"/>
  <c r="N587" i="17" s="1"/>
  <c r="I588" i="17"/>
  <c r="I589" i="17"/>
  <c r="N589" i="17" s="1"/>
  <c r="I590" i="17"/>
  <c r="N590" i="17" s="1"/>
  <c r="I591" i="17"/>
  <c r="N591" i="17" s="1"/>
  <c r="I592" i="17"/>
  <c r="N592" i="17" s="1"/>
  <c r="I593" i="17"/>
  <c r="N593" i="17" s="1"/>
  <c r="I594" i="17"/>
  <c r="I595" i="17"/>
  <c r="N595" i="17" s="1"/>
  <c r="I596" i="17"/>
  <c r="N596" i="17" s="1"/>
  <c r="I597" i="17"/>
  <c r="N597" i="17" s="1"/>
  <c r="I598" i="17"/>
  <c r="N598" i="17" s="1"/>
  <c r="I599" i="17"/>
  <c r="N599" i="17" s="1"/>
  <c r="I600" i="17"/>
  <c r="I601" i="17"/>
  <c r="N601" i="17" s="1"/>
  <c r="I602" i="17"/>
  <c r="I603" i="17"/>
  <c r="N603" i="17" s="1"/>
  <c r="I604" i="17"/>
  <c r="N604" i="17" s="1"/>
  <c r="I605" i="17"/>
  <c r="N605" i="17" s="1"/>
  <c r="I606" i="17"/>
  <c r="N606" i="17" s="1"/>
  <c r="I607" i="17"/>
  <c r="N607" i="17" s="1"/>
  <c r="I608" i="17"/>
  <c r="N608" i="17" s="1"/>
  <c r="I609" i="17"/>
  <c r="N609" i="17" s="1"/>
  <c r="I610" i="17"/>
  <c r="I611" i="17"/>
  <c r="I612" i="17"/>
  <c r="N612" i="17" s="1"/>
  <c r="I613" i="17"/>
  <c r="N613" i="17" s="1"/>
  <c r="I614" i="17"/>
  <c r="I615" i="17"/>
  <c r="N615" i="17" s="1"/>
  <c r="I616" i="17"/>
  <c r="I617" i="17"/>
  <c r="N617" i="17" s="1"/>
  <c r="I618" i="17"/>
  <c r="I619" i="17"/>
  <c r="N619" i="17" s="1"/>
  <c r="I620" i="17"/>
  <c r="I621" i="17"/>
  <c r="N621" i="17" s="1"/>
  <c r="I622" i="17"/>
  <c r="N622" i="17" s="1"/>
  <c r="I623" i="17"/>
  <c r="I624" i="17"/>
  <c r="I625" i="17"/>
  <c r="N625" i="17" s="1"/>
  <c r="I626" i="17"/>
  <c r="I627" i="17"/>
  <c r="N627" i="17" s="1"/>
  <c r="I628" i="17"/>
  <c r="N628" i="17" s="1"/>
  <c r="I629" i="17"/>
  <c r="N629" i="17" s="1"/>
  <c r="I630" i="17"/>
  <c r="I631" i="17"/>
  <c r="N631" i="17" s="1"/>
  <c r="I632" i="17"/>
  <c r="N632" i="17" s="1"/>
  <c r="I633" i="17"/>
  <c r="N633" i="17" s="1"/>
  <c r="I634" i="17"/>
  <c r="I635" i="17"/>
  <c r="N635" i="17" s="1"/>
  <c r="I636" i="17"/>
  <c r="I637" i="17"/>
  <c r="N637" i="17" s="1"/>
  <c r="I638" i="17"/>
  <c r="N638" i="17" s="1"/>
  <c r="I639" i="17"/>
  <c r="N639" i="17" s="1"/>
  <c r="I640" i="17"/>
  <c r="I641" i="17"/>
  <c r="N641" i="17" s="1"/>
  <c r="I642" i="17"/>
  <c r="I643" i="17"/>
  <c r="N643" i="17" s="1"/>
  <c r="I644" i="17"/>
  <c r="I645" i="17"/>
  <c r="I646" i="17"/>
  <c r="N646" i="17" s="1"/>
  <c r="I647" i="17"/>
  <c r="N647" i="17" s="1"/>
  <c r="I648" i="17"/>
  <c r="I649" i="17"/>
  <c r="N649" i="17" s="1"/>
  <c r="I650" i="17"/>
  <c r="N650" i="17" s="1"/>
  <c r="I651" i="17"/>
  <c r="N651" i="17" s="1"/>
  <c r="I652" i="17"/>
  <c r="N652" i="17" s="1"/>
  <c r="I653" i="17"/>
  <c r="N653" i="17" s="1"/>
  <c r="I654" i="17"/>
  <c r="N654" i="17" s="1"/>
  <c r="I655" i="17"/>
  <c r="N655" i="17" s="1"/>
  <c r="I656" i="17"/>
  <c r="I657" i="17"/>
  <c r="N657" i="17" s="1"/>
  <c r="I658" i="17"/>
  <c r="I659" i="17"/>
  <c r="N659" i="17" s="1"/>
  <c r="I660" i="17"/>
  <c r="N660" i="17" s="1"/>
  <c r="I661" i="17"/>
  <c r="N661" i="17" s="1"/>
  <c r="I662" i="17"/>
  <c r="I663" i="17"/>
  <c r="N663" i="17" s="1"/>
  <c r="I664" i="17"/>
  <c r="N664" i="17" s="1"/>
  <c r="I665" i="17"/>
  <c r="N665" i="17" s="1"/>
  <c r="I666" i="17"/>
  <c r="I667" i="17"/>
  <c r="N667" i="17" s="1"/>
  <c r="I668" i="17"/>
  <c r="N668" i="17" s="1"/>
  <c r="I669" i="17"/>
  <c r="N669" i="17" s="1"/>
  <c r="I670" i="17"/>
  <c r="N670" i="17" s="1"/>
  <c r="I671" i="17"/>
  <c r="N671" i="17" s="1"/>
  <c r="I672" i="17"/>
  <c r="N672" i="17" s="1"/>
  <c r="I673" i="17"/>
  <c r="N673" i="17" s="1"/>
  <c r="I674" i="17"/>
  <c r="I675" i="17"/>
  <c r="N675" i="17" s="1"/>
  <c r="I676" i="17"/>
  <c r="I677" i="17"/>
  <c r="I678" i="17"/>
  <c r="N678" i="17" s="1"/>
  <c r="I679" i="17"/>
  <c r="N679" i="17" s="1"/>
  <c r="I680" i="17"/>
  <c r="I681" i="17"/>
  <c r="N681" i="17" s="1"/>
  <c r="I682" i="17"/>
  <c r="I683" i="17"/>
  <c r="N683" i="17" s="1"/>
  <c r="I684" i="17"/>
  <c r="I685" i="17"/>
  <c r="N685" i="17" s="1"/>
  <c r="I686" i="17"/>
  <c r="N686" i="17" s="1"/>
  <c r="I687" i="17"/>
  <c r="N687" i="17" s="1"/>
  <c r="I688" i="17"/>
  <c r="I689" i="17"/>
  <c r="N689" i="17" s="1"/>
  <c r="I690" i="17"/>
  <c r="N690" i="17" s="1"/>
  <c r="I691" i="17"/>
  <c r="N691" i="17" s="1"/>
  <c r="I692" i="17"/>
  <c r="N692" i="17" s="1"/>
  <c r="I693" i="17"/>
  <c r="I694" i="17"/>
  <c r="N694" i="17" s="1"/>
  <c r="I695" i="17"/>
  <c r="N695" i="17" s="1"/>
  <c r="I696" i="17"/>
  <c r="I697" i="17"/>
  <c r="N697" i="17" s="1"/>
  <c r="I698" i="17"/>
  <c r="I699" i="17"/>
  <c r="N699" i="17" s="1"/>
  <c r="I700" i="17"/>
  <c r="N700" i="17" s="1"/>
  <c r="I701" i="17"/>
  <c r="N701" i="17" s="1"/>
  <c r="I702" i="17"/>
  <c r="I703" i="17"/>
  <c r="N703" i="17" s="1"/>
  <c r="I704" i="17"/>
  <c r="N704" i="17" s="1"/>
  <c r="I705" i="17"/>
  <c r="N705" i="17" s="1"/>
  <c r="I706" i="17"/>
  <c r="I707" i="17"/>
  <c r="N707" i="17" s="1"/>
  <c r="I708" i="17"/>
  <c r="I709" i="17"/>
  <c r="N709" i="17" s="1"/>
  <c r="I710" i="17"/>
  <c r="N710" i="17" s="1"/>
  <c r="I711" i="17"/>
  <c r="N711" i="17" s="1"/>
  <c r="I712" i="17"/>
  <c r="N712" i="17" s="1"/>
  <c r="I713" i="17"/>
  <c r="N713" i="17" s="1"/>
  <c r="I714" i="17"/>
  <c r="I715" i="17"/>
  <c r="N715" i="17" s="1"/>
  <c r="I716" i="17"/>
  <c r="N716" i="17" s="1"/>
  <c r="I717" i="17"/>
  <c r="I718" i="17"/>
  <c r="I719" i="17"/>
  <c r="N719" i="17" s="1"/>
  <c r="I720" i="17"/>
  <c r="N720" i="17" s="1"/>
  <c r="I721" i="17"/>
  <c r="N721" i="17" s="1"/>
  <c r="I722" i="17"/>
  <c r="I723" i="17"/>
  <c r="N723" i="17" s="1"/>
  <c r="I724" i="17"/>
  <c r="N724" i="17" s="1"/>
  <c r="I725" i="17"/>
  <c r="N725" i="17" s="1"/>
  <c r="I726" i="17"/>
  <c r="N726" i="17" s="1"/>
  <c r="I727" i="17"/>
  <c r="N727" i="17" s="1"/>
  <c r="I728" i="17"/>
  <c r="N728" i="17" s="1"/>
  <c r="I729" i="17"/>
  <c r="N729" i="17" s="1"/>
  <c r="I730" i="17"/>
  <c r="I731" i="17"/>
  <c r="N731" i="17" s="1"/>
  <c r="I732" i="17"/>
  <c r="N732" i="17" s="1"/>
  <c r="I733" i="17"/>
  <c r="N733" i="17" s="1"/>
  <c r="I734" i="17"/>
  <c r="N734" i="17" s="1"/>
  <c r="I735" i="17"/>
  <c r="N735" i="17" s="1"/>
  <c r="I736" i="17"/>
  <c r="N736" i="17" s="1"/>
  <c r="I737" i="17"/>
  <c r="N737" i="17" s="1"/>
  <c r="I738" i="17"/>
  <c r="I739" i="17"/>
  <c r="N739" i="17" s="1"/>
  <c r="I740" i="17"/>
  <c r="N740" i="17" s="1"/>
  <c r="I741" i="17"/>
  <c r="I742" i="17"/>
  <c r="N742" i="17" s="1"/>
  <c r="I743" i="17"/>
  <c r="N743" i="17" s="1"/>
  <c r="I744" i="17"/>
  <c r="N744" i="17" s="1"/>
  <c r="I745" i="17"/>
  <c r="N745" i="17" s="1"/>
  <c r="I746" i="17"/>
  <c r="I747" i="17"/>
  <c r="N747" i="17" s="1"/>
  <c r="I748" i="17"/>
  <c r="N748" i="17" s="1"/>
  <c r="I749" i="17"/>
  <c r="N749" i="17" s="1"/>
  <c r="I750" i="17"/>
  <c r="I751" i="17"/>
  <c r="N751" i="17" s="1"/>
  <c r="I752" i="17"/>
  <c r="I753" i="17"/>
  <c r="N753" i="17" s="1"/>
  <c r="I754" i="17"/>
  <c r="I755" i="17"/>
  <c r="N755" i="17" s="1"/>
  <c r="I756" i="17"/>
  <c r="N756" i="17" s="1"/>
  <c r="I757" i="17"/>
  <c r="N757" i="17" s="1"/>
  <c r="I758" i="17"/>
  <c r="N758" i="17" s="1"/>
  <c r="I759" i="17"/>
  <c r="N759" i="17" s="1"/>
  <c r="I760" i="17"/>
  <c r="N760" i="17" s="1"/>
  <c r="I761" i="17"/>
  <c r="N761" i="17" s="1"/>
  <c r="I762" i="17"/>
  <c r="I763" i="17"/>
  <c r="N763" i="17" s="1"/>
  <c r="I764" i="17"/>
  <c r="N764" i="17" s="1"/>
  <c r="I765" i="17"/>
  <c r="I766" i="17"/>
  <c r="N766" i="17" s="1"/>
  <c r="I767" i="17"/>
  <c r="N767" i="17" s="1"/>
  <c r="I768" i="17"/>
  <c r="I769" i="17"/>
  <c r="N769" i="17" s="1"/>
  <c r="I770" i="17"/>
  <c r="N770" i="17" s="1"/>
  <c r="I771" i="17"/>
  <c r="N771" i="17" s="1"/>
  <c r="I772" i="17"/>
  <c r="N772" i="17" s="1"/>
  <c r="I773" i="17"/>
  <c r="N773" i="17" s="1"/>
  <c r="I774" i="17"/>
  <c r="I775" i="17"/>
  <c r="N775" i="17" s="1"/>
  <c r="I776" i="17"/>
  <c r="I777" i="17"/>
  <c r="N777" i="17" s="1"/>
  <c r="I778" i="17"/>
  <c r="I779" i="17"/>
  <c r="N779" i="17" s="1"/>
  <c r="I780" i="17"/>
  <c r="N780" i="17" s="1"/>
  <c r="I781" i="17"/>
  <c r="N781" i="17" s="1"/>
  <c r="I782" i="17"/>
  <c r="N782" i="17" s="1"/>
  <c r="I783" i="17"/>
  <c r="N783" i="17" s="1"/>
  <c r="I784" i="17"/>
  <c r="N784" i="17" s="1"/>
  <c r="I785" i="17"/>
  <c r="N785" i="17" s="1"/>
  <c r="I786" i="17"/>
  <c r="I787" i="17"/>
  <c r="N787" i="17" s="1"/>
  <c r="I788" i="17"/>
  <c r="N788" i="17" s="1"/>
  <c r="I789" i="17"/>
  <c r="N789" i="17" s="1"/>
  <c r="I790" i="17"/>
  <c r="I791" i="17"/>
  <c r="N791" i="17" s="1"/>
  <c r="I792" i="17"/>
  <c r="N792" i="17" s="1"/>
  <c r="I793" i="17"/>
  <c r="N793" i="17" s="1"/>
  <c r="I794" i="17"/>
  <c r="I795" i="17"/>
  <c r="N795" i="17" s="1"/>
  <c r="I796" i="17"/>
  <c r="N796" i="17" s="1"/>
  <c r="I797" i="17"/>
  <c r="I798" i="17"/>
  <c r="N798" i="17" s="1"/>
  <c r="I799" i="17"/>
  <c r="N799" i="17" s="1"/>
  <c r="I800" i="17"/>
  <c r="N800" i="17" s="1"/>
  <c r="I801" i="17"/>
  <c r="N801" i="17" s="1"/>
  <c r="I802" i="17"/>
  <c r="I803" i="17"/>
  <c r="N803" i="17" s="1"/>
  <c r="I804" i="17"/>
  <c r="N804" i="17" s="1"/>
  <c r="I805" i="17"/>
  <c r="I806" i="17"/>
  <c r="N806" i="17" s="1"/>
  <c r="I807" i="17"/>
  <c r="N807" i="17" s="1"/>
  <c r="I808" i="17"/>
  <c r="I809" i="17"/>
  <c r="N809" i="17" s="1"/>
  <c r="I810" i="17"/>
  <c r="I811" i="17"/>
  <c r="N811" i="17" s="1"/>
  <c r="I812" i="17"/>
  <c r="N812" i="17" s="1"/>
  <c r="I813" i="17"/>
  <c r="I814" i="17"/>
  <c r="N814" i="17" s="1"/>
  <c r="I815" i="17"/>
  <c r="N815" i="17" s="1"/>
  <c r="I816" i="17"/>
  <c r="N816" i="17" s="1"/>
  <c r="I817" i="17"/>
  <c r="N817" i="17" s="1"/>
  <c r="I818" i="17"/>
  <c r="I819" i="17"/>
  <c r="N819" i="17" s="1"/>
  <c r="I820" i="17"/>
  <c r="N820" i="17" s="1"/>
  <c r="I821" i="17"/>
  <c r="N821" i="17" s="1"/>
  <c r="I822" i="17"/>
  <c r="N822" i="17" s="1"/>
  <c r="I823" i="17"/>
  <c r="N823" i="17" s="1"/>
  <c r="I824" i="17"/>
  <c r="N824" i="17" s="1"/>
  <c r="I825" i="17"/>
  <c r="N825" i="17" s="1"/>
  <c r="I826" i="17"/>
  <c r="I827" i="17"/>
  <c r="I828" i="17"/>
  <c r="N828" i="17" s="1"/>
  <c r="I829" i="17"/>
  <c r="N829" i="17" s="1"/>
  <c r="I830" i="17"/>
  <c r="I831" i="17"/>
  <c r="N831" i="17" s="1"/>
  <c r="I832" i="17"/>
  <c r="N832" i="17" s="1"/>
  <c r="I833" i="17"/>
  <c r="N833" i="17" s="1"/>
  <c r="I834" i="17"/>
  <c r="I835" i="17"/>
  <c r="N835" i="17" s="1"/>
  <c r="I836" i="17"/>
  <c r="N836" i="17" s="1"/>
  <c r="I837" i="17"/>
  <c r="N837" i="17" s="1"/>
  <c r="I838" i="17"/>
  <c r="N838" i="17" s="1"/>
  <c r="I839" i="17"/>
  <c r="N839" i="17" s="1"/>
  <c r="I840" i="17"/>
  <c r="I841" i="17"/>
  <c r="N841" i="17" s="1"/>
  <c r="I842" i="17"/>
  <c r="I843" i="17"/>
  <c r="N843" i="17" s="1"/>
  <c r="I844" i="17"/>
  <c r="N844" i="17" s="1"/>
  <c r="I845" i="17"/>
  <c r="I846" i="17"/>
  <c r="N846" i="17" s="1"/>
  <c r="I847" i="17"/>
  <c r="N847" i="17" s="1"/>
  <c r="I848" i="17"/>
  <c r="N848" i="17" s="1"/>
  <c r="I849" i="17"/>
  <c r="N849" i="17" s="1"/>
  <c r="I850" i="17"/>
  <c r="N850" i="17" s="1"/>
  <c r="I851" i="17"/>
  <c r="I852" i="17"/>
  <c r="N852" i="17" s="1"/>
  <c r="I853" i="17"/>
  <c r="N853" i="17" s="1"/>
  <c r="I854" i="17"/>
  <c r="I855" i="17"/>
  <c r="N855" i="17" s="1"/>
  <c r="I856" i="17"/>
  <c r="N856" i="17" s="1"/>
  <c r="I857" i="17"/>
  <c r="N857" i="17" s="1"/>
  <c r="I858" i="17"/>
  <c r="I859" i="17"/>
  <c r="N859" i="17" s="1"/>
  <c r="I860" i="17"/>
  <c r="N860" i="17" s="1"/>
  <c r="I861" i="17"/>
  <c r="N861" i="17" s="1"/>
  <c r="I862" i="17"/>
  <c r="N862" i="17" s="1"/>
  <c r="I863" i="17"/>
  <c r="N863" i="17" s="1"/>
  <c r="I864" i="17"/>
  <c r="N864" i="17" s="1"/>
  <c r="I865" i="17"/>
  <c r="N865" i="17" s="1"/>
  <c r="I866" i="17"/>
  <c r="I867" i="17"/>
  <c r="N867" i="17" s="1"/>
  <c r="I868" i="17"/>
  <c r="N868" i="17" s="1"/>
  <c r="I869" i="17"/>
  <c r="N869" i="17" s="1"/>
  <c r="I870" i="17"/>
  <c r="I871" i="17"/>
  <c r="N871" i="17" s="1"/>
  <c r="I872" i="17"/>
  <c r="N872" i="17" s="1"/>
  <c r="I873" i="17"/>
  <c r="N873" i="17" s="1"/>
  <c r="I874" i="17"/>
  <c r="I875" i="17"/>
  <c r="N875" i="17" s="1"/>
  <c r="I876" i="17"/>
  <c r="I877" i="17"/>
  <c r="I878" i="17"/>
  <c r="N878" i="17" s="1"/>
  <c r="I879" i="17"/>
  <c r="N879" i="17" s="1"/>
  <c r="I880" i="17"/>
  <c r="N880" i="17" s="1"/>
  <c r="I881" i="17"/>
  <c r="N881" i="17" s="1"/>
  <c r="I882" i="17"/>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I899" i="17"/>
  <c r="N899" i="17" s="1"/>
  <c r="I900" i="17"/>
  <c r="N900" i="17" s="1"/>
  <c r="I901" i="17"/>
  <c r="I902" i="17"/>
  <c r="I903" i="17"/>
  <c r="N903" i="17" s="1"/>
  <c r="I904" i="17"/>
  <c r="N904" i="17" s="1"/>
  <c r="I905" i="17"/>
  <c r="N905" i="17" s="1"/>
  <c r="I906" i="17"/>
  <c r="I907" i="17"/>
  <c r="N907" i="17" s="1"/>
  <c r="I908" i="17"/>
  <c r="N908" i="17" s="1"/>
  <c r="I909" i="17"/>
  <c r="I910" i="17"/>
  <c r="N910" i="17" s="1"/>
  <c r="I911" i="17"/>
  <c r="N911" i="17" s="1"/>
  <c r="I912" i="17"/>
  <c r="N912" i="17" s="1"/>
  <c r="I913" i="17"/>
  <c r="N913" i="17" s="1"/>
  <c r="I914" i="17"/>
  <c r="I915" i="17"/>
  <c r="N915" i="17" s="1"/>
  <c r="I916" i="17"/>
  <c r="N916" i="17" s="1"/>
  <c r="I917" i="17"/>
  <c r="N917" i="17" s="1"/>
  <c r="I918" i="17"/>
  <c r="N918" i="17" s="1"/>
  <c r="I919" i="17"/>
  <c r="N919" i="17" s="1"/>
  <c r="I920" i="17"/>
  <c r="I921" i="17"/>
  <c r="N921" i="17" s="1"/>
  <c r="I922" i="17"/>
  <c r="I923" i="17"/>
  <c r="N923" i="17" s="1"/>
  <c r="I924" i="17"/>
  <c r="N924" i="17" s="1"/>
  <c r="I925" i="17"/>
  <c r="N925" i="17" s="1"/>
  <c r="I926" i="17"/>
  <c r="I927" i="17"/>
  <c r="N927" i="17" s="1"/>
  <c r="I928" i="17"/>
  <c r="N928" i="17" s="1"/>
  <c r="I929" i="17"/>
  <c r="N929" i="17" s="1"/>
  <c r="I930" i="17"/>
  <c r="I931" i="17"/>
  <c r="N931" i="17" s="1"/>
  <c r="I932" i="17"/>
  <c r="N932" i="17" s="1"/>
  <c r="I933" i="17"/>
  <c r="I934" i="17"/>
  <c r="N934" i="17" s="1"/>
  <c r="I935" i="17"/>
  <c r="N935" i="17" s="1"/>
  <c r="I936" i="17"/>
  <c r="I937" i="17"/>
  <c r="N937" i="17" s="1"/>
  <c r="I938" i="17"/>
  <c r="N938" i="17" s="1"/>
  <c r="I939" i="17"/>
  <c r="N939" i="17" s="1"/>
  <c r="I940" i="17"/>
  <c r="N940" i="17" s="1"/>
  <c r="I941" i="17"/>
  <c r="N941" i="17" s="1"/>
  <c r="I942" i="17"/>
  <c r="N942" i="17" s="1"/>
  <c r="I943" i="17"/>
  <c r="N943" i="17" s="1"/>
  <c r="I944" i="17"/>
  <c r="I945" i="17"/>
  <c r="N945" i="17" s="1"/>
  <c r="I946" i="17"/>
  <c r="I947" i="17"/>
  <c r="N947" i="17" s="1"/>
  <c r="I948" i="17"/>
  <c r="N948" i="17" s="1"/>
  <c r="I949" i="17"/>
  <c r="N949" i="17" s="1"/>
  <c r="I950" i="17"/>
  <c r="N950" i="17" s="1"/>
  <c r="I951" i="17"/>
  <c r="N951" i="17" s="1"/>
  <c r="I952" i="17"/>
  <c r="N952" i="17" s="1"/>
  <c r="I953" i="17"/>
  <c r="N953" i="17" s="1"/>
  <c r="I954" i="17"/>
  <c r="I955" i="17"/>
  <c r="N955" i="17" s="1"/>
  <c r="I956" i="17"/>
  <c r="N956" i="17" s="1"/>
  <c r="I957" i="17"/>
  <c r="I958" i="17"/>
  <c r="N958" i="17" s="1"/>
  <c r="I959" i="17"/>
  <c r="N959" i="17" s="1"/>
  <c r="I960" i="17"/>
  <c r="N960" i="17" s="1"/>
  <c r="I961" i="17"/>
  <c r="N961" i="17" s="1"/>
  <c r="I962" i="17"/>
  <c r="I963" i="17"/>
  <c r="N963" i="17" s="1"/>
  <c r="I964" i="17"/>
  <c r="I965" i="17"/>
  <c r="I966" i="17"/>
  <c r="N966" i="17" s="1"/>
  <c r="I967" i="17"/>
  <c r="N967" i="17" s="1"/>
  <c r="I968" i="17"/>
  <c r="I969" i="17"/>
  <c r="N969" i="17" s="1"/>
  <c r="I970" i="17"/>
  <c r="I971" i="17"/>
  <c r="N971" i="17" s="1"/>
  <c r="I972" i="17"/>
  <c r="N972" i="17" s="1"/>
  <c r="I973" i="17"/>
  <c r="N973" i="17" s="1"/>
  <c r="I974" i="17"/>
  <c r="N974" i="17" s="1"/>
  <c r="I975" i="17"/>
  <c r="N975" i="17" s="1"/>
  <c r="I976" i="17"/>
  <c r="I977" i="17"/>
  <c r="N977" i="17" s="1"/>
  <c r="I978" i="17"/>
  <c r="I979" i="17"/>
  <c r="N979" i="17" s="1"/>
  <c r="I980" i="17"/>
  <c r="I981" i="17"/>
  <c r="N981" i="17" s="1"/>
  <c r="I982" i="17"/>
  <c r="N982" i="17" s="1"/>
  <c r="I983" i="17"/>
  <c r="N983" i="17" s="1"/>
  <c r="I984" i="17"/>
  <c r="N984" i="17" s="1"/>
  <c r="I985" i="17"/>
  <c r="N985" i="17" s="1"/>
  <c r="I986" i="17"/>
  <c r="I987" i="17"/>
  <c r="N987" i="17" s="1"/>
  <c r="I988" i="17"/>
  <c r="N988" i="17" s="1"/>
  <c r="I989" i="17"/>
  <c r="N989" i="17" s="1"/>
  <c r="I990" i="17"/>
  <c r="N990" i="17" s="1"/>
  <c r="I991" i="17"/>
  <c r="N991" i="17" s="1"/>
  <c r="I992" i="17"/>
  <c r="N992" i="17" s="1"/>
  <c r="I993" i="17"/>
  <c r="N993" i="17" s="1"/>
  <c r="I994" i="17"/>
  <c r="I995" i="17"/>
  <c r="N995" i="17" s="1"/>
  <c r="I996" i="17"/>
  <c r="N996" i="17" s="1"/>
  <c r="I997" i="17"/>
  <c r="N997" i="17" s="1"/>
  <c r="I998" i="17"/>
  <c r="N998" i="17" s="1"/>
  <c r="I999" i="17"/>
  <c r="N999" i="17" s="1"/>
  <c r="I1000" i="17"/>
  <c r="N1000" i="17" s="1"/>
  <c r="I1001" i="17"/>
  <c r="N1001" i="17" s="1"/>
  <c r="O30" i="17"/>
  <c r="O46" i="17"/>
  <c r="O54" i="17"/>
  <c r="O62" i="17"/>
  <c r="O70" i="17"/>
  <c r="O86" i="17"/>
  <c r="O102" i="17"/>
  <c r="O126" i="17"/>
  <c r="O134" i="17"/>
  <c r="O150" i="17"/>
  <c r="O158" i="17"/>
  <c r="O166" i="17"/>
  <c r="O198" i="17"/>
  <c r="O34" i="17"/>
  <c r="N676" i="17"/>
  <c r="N684" i="17"/>
  <c r="N876" i="17"/>
  <c r="N964" i="17"/>
  <c r="F49" i="17"/>
  <c r="G49" i="17"/>
  <c r="G48" i="17"/>
  <c r="F322" i="17"/>
  <c r="F102" i="17"/>
  <c r="F103" i="17"/>
  <c r="N102" i="17"/>
  <c r="O3" i="17"/>
  <c r="M3" i="17"/>
  <c r="O4" i="17"/>
  <c r="M4" i="17"/>
  <c r="O5" i="17"/>
  <c r="M5" i="17"/>
  <c r="O6" i="17"/>
  <c r="M6" i="17"/>
  <c r="N8" i="17"/>
  <c r="O11" i="17"/>
  <c r="M11" i="17"/>
  <c r="N12" i="17"/>
  <c r="O12" i="17"/>
  <c r="M12" i="17"/>
  <c r="N13" i="17"/>
  <c r="M13" i="17"/>
  <c r="N14" i="17"/>
  <c r="M14" i="17"/>
  <c r="M17" i="17"/>
  <c r="N18" i="17"/>
  <c r="O19" i="17"/>
  <c r="M19" i="17"/>
  <c r="O20" i="17"/>
  <c r="M20" i="17"/>
  <c r="M21" i="17"/>
  <c r="N22" i="17"/>
  <c r="M22" i="17"/>
  <c r="N24" i="17"/>
  <c r="N26" i="17"/>
  <c r="O27" i="17"/>
  <c r="M27" i="17"/>
  <c r="O28" i="17"/>
  <c r="M28" i="17"/>
  <c r="M29" i="17"/>
  <c r="N30" i="17"/>
  <c r="N32" i="17"/>
  <c r="M32" i="17"/>
  <c r="N34" i="17"/>
  <c r="O35" i="17"/>
  <c r="M35" i="17"/>
  <c r="O36" i="17"/>
  <c r="M36" i="17"/>
  <c r="O37" i="17"/>
  <c r="M37" i="17"/>
  <c r="M38" i="17"/>
  <c r="O43" i="17"/>
  <c r="M43" i="17"/>
  <c r="N44" i="17"/>
  <c r="O44" i="17"/>
  <c r="M44" i="17"/>
  <c r="M45" i="17"/>
  <c r="N46" i="17"/>
  <c r="M46" i="17"/>
  <c r="N50" i="17"/>
  <c r="O51" i="17"/>
  <c r="M51" i="17"/>
  <c r="N52" i="17"/>
  <c r="O52" i="17"/>
  <c r="M52" i="17"/>
  <c r="M53" i="17"/>
  <c r="N54" i="17"/>
  <c r="M54" i="17"/>
  <c r="N56" i="17"/>
  <c r="M56" i="17"/>
  <c r="N58" i="17"/>
  <c r="O59" i="17"/>
  <c r="M59" i="17"/>
  <c r="N60" i="17"/>
  <c r="M60" i="17"/>
  <c r="O61" i="17"/>
  <c r="M61" i="17"/>
  <c r="N62" i="17"/>
  <c r="M62" i="17"/>
  <c r="N66" i="17"/>
  <c r="N67" i="17"/>
  <c r="O67" i="17"/>
  <c r="M67" i="17"/>
  <c r="N68" i="17"/>
  <c r="O68" i="17"/>
  <c r="M68" i="17"/>
  <c r="O69" i="17"/>
  <c r="M69" i="17"/>
  <c r="M70" i="17"/>
  <c r="N72" i="17"/>
  <c r="M73" i="17"/>
  <c r="M74" i="17"/>
  <c r="O75" i="17"/>
  <c r="M75" i="17"/>
  <c r="N76" i="17"/>
  <c r="M76" i="17"/>
  <c r="M77" i="17"/>
  <c r="M78" i="17"/>
  <c r="M79" i="17"/>
  <c r="N82" i="17"/>
  <c r="O83" i="17"/>
  <c r="M83" i="17"/>
  <c r="N84" i="17"/>
  <c r="O84" i="17"/>
  <c r="M84" i="17"/>
  <c r="N85" i="17"/>
  <c r="M85" i="17"/>
  <c r="M86" i="17"/>
  <c r="N88" i="17"/>
  <c r="N90" i="17"/>
  <c r="O91" i="17"/>
  <c r="M91" i="17"/>
  <c r="O92" i="17"/>
  <c r="M92" i="17"/>
  <c r="O93" i="17"/>
  <c r="M93" i="17"/>
  <c r="M94" i="17"/>
  <c r="N96" i="17"/>
  <c r="O96" i="17"/>
  <c r="N98" i="17"/>
  <c r="M98" i="17"/>
  <c r="O99" i="17"/>
  <c r="M99" i="17"/>
  <c r="O100" i="17"/>
  <c r="M100" i="17"/>
  <c r="O101" i="17"/>
  <c r="M101" i="17"/>
  <c r="N104" i="17"/>
  <c r="N106" i="17"/>
  <c r="O107" i="17"/>
  <c r="M107" i="17"/>
  <c r="N108" i="17"/>
  <c r="O108" i="17"/>
  <c r="M108" i="17"/>
  <c r="N109" i="17"/>
  <c r="O109" i="17"/>
  <c r="M109" i="17"/>
  <c r="M110" i="17"/>
  <c r="O115" i="17"/>
  <c r="M115" i="17"/>
  <c r="N116" i="17"/>
  <c r="O116" i="17"/>
  <c r="M116" i="17"/>
  <c r="M117" i="17"/>
  <c r="M118" i="17"/>
  <c r="N120" i="17"/>
  <c r="N122" i="17"/>
  <c r="O123" i="17"/>
  <c r="M123" i="17"/>
  <c r="N124" i="17"/>
  <c r="M124" i="17"/>
  <c r="M125" i="17"/>
  <c r="M126" i="17"/>
  <c r="M129" i="17"/>
  <c r="N130" i="17"/>
  <c r="O131" i="17"/>
  <c r="M131" i="17"/>
  <c r="M132" i="17"/>
  <c r="O133" i="17"/>
  <c r="M133" i="17"/>
  <c r="N134" i="17"/>
  <c r="M134" i="17"/>
  <c r="N136" i="17"/>
  <c r="N138" i="17"/>
  <c r="O139" i="17"/>
  <c r="M139" i="17"/>
  <c r="N140" i="17"/>
  <c r="O140" i="17"/>
  <c r="M140" i="17"/>
  <c r="N141" i="17"/>
  <c r="O141" i="17"/>
  <c r="M141" i="17"/>
  <c r="N144" i="17"/>
  <c r="M144" i="17"/>
  <c r="N146" i="17"/>
  <c r="O147" i="17"/>
  <c r="M147" i="17"/>
  <c r="N148" i="17"/>
  <c r="M148" i="17"/>
  <c r="O149" i="17"/>
  <c r="M149" i="17"/>
  <c r="N150" i="17"/>
  <c r="M150" i="17"/>
  <c r="N152" i="17"/>
  <c r="M154" i="17"/>
  <c r="O155" i="17"/>
  <c r="M155" i="17"/>
  <c r="N156" i="17"/>
  <c r="O156" i="17"/>
  <c r="M156" i="17"/>
  <c r="M157" i="17"/>
  <c r="M158" i="17"/>
  <c r="N162" i="17"/>
  <c r="N163" i="17"/>
  <c r="O163" i="17"/>
  <c r="M163" i="17"/>
  <c r="N164" i="17"/>
  <c r="M164" i="17"/>
  <c r="M165" i="17"/>
  <c r="M166" i="17"/>
  <c r="M168" i="17"/>
  <c r="N170" i="17"/>
  <c r="O171" i="17"/>
  <c r="M171" i="17"/>
  <c r="M172" i="17"/>
  <c r="N173" i="17"/>
  <c r="M173" i="17"/>
  <c r="N174" i="17"/>
  <c r="M174" i="17"/>
  <c r="N178" i="17"/>
  <c r="M178" i="17"/>
  <c r="O179" i="17"/>
  <c r="M179" i="17"/>
  <c r="O180" i="17"/>
  <c r="M180" i="17"/>
  <c r="O181" i="17"/>
  <c r="M181" i="17"/>
  <c r="M182" i="17"/>
  <c r="N184" i="17"/>
  <c r="N186" i="17"/>
  <c r="O187" i="17"/>
  <c r="M187" i="17"/>
  <c r="N188" i="17"/>
  <c r="O188" i="17"/>
  <c r="M188" i="17"/>
  <c r="N189" i="17"/>
  <c r="O189" i="17"/>
  <c r="M189" i="17"/>
  <c r="O190" i="17"/>
  <c r="M190" i="17"/>
  <c r="M191" i="17"/>
  <c r="N192" i="17"/>
  <c r="N194" i="17"/>
  <c r="O195" i="17"/>
  <c r="M195" i="17"/>
  <c r="N196" i="17"/>
  <c r="O196" i="17"/>
  <c r="M196" i="17"/>
  <c r="O197" i="17"/>
  <c r="M197" i="17"/>
  <c r="M198" i="17"/>
  <c r="M201" i="17"/>
  <c r="N202" i="17"/>
  <c r="O203" i="17"/>
  <c r="M203" i="17"/>
  <c r="N204" i="17"/>
  <c r="M204" i="17"/>
  <c r="N205" i="17"/>
  <c r="M205" i="17"/>
  <c r="O206" i="17"/>
  <c r="M206" i="17"/>
  <c r="N208" i="17"/>
  <c r="N210" i="17"/>
  <c r="O211" i="17"/>
  <c r="M211" i="17"/>
  <c r="N212" i="17"/>
  <c r="O212" i="17"/>
  <c r="M212" i="17"/>
  <c r="N213" i="17"/>
  <c r="O213" i="17"/>
  <c r="M213" i="17"/>
  <c r="M214" i="17"/>
  <c r="N216" i="17"/>
  <c r="N218" i="17"/>
  <c r="O219" i="17"/>
  <c r="M219" i="17"/>
  <c r="O220" i="17"/>
  <c r="M220" i="17"/>
  <c r="M221" i="17"/>
  <c r="O222" i="17"/>
  <c r="M222" i="17"/>
  <c r="N224" i="17"/>
  <c r="N226" i="17"/>
  <c r="M226" i="17"/>
  <c r="O227" i="17"/>
  <c r="M227" i="17"/>
  <c r="O228" i="17"/>
  <c r="M228" i="17"/>
  <c r="O229" i="17"/>
  <c r="M229" i="17"/>
  <c r="N230" i="17"/>
  <c r="O230" i="17"/>
  <c r="O231" i="17"/>
  <c r="M231" i="17"/>
  <c r="O235" i="17"/>
  <c r="M235" i="17"/>
  <c r="N236" i="17"/>
  <c r="O236" i="17"/>
  <c r="M236" i="17"/>
  <c r="O237" i="17"/>
  <c r="M237" i="17"/>
  <c r="O238" i="17"/>
  <c r="M238" i="17"/>
  <c r="N240" i="17"/>
  <c r="N242" i="17"/>
  <c r="O243" i="17"/>
  <c r="M243" i="17"/>
  <c r="N244" i="17"/>
  <c r="O244" i="17"/>
  <c r="M244" i="17"/>
  <c r="M245" i="17"/>
  <c r="O246" i="17"/>
  <c r="M246" i="17"/>
  <c r="N248" i="17"/>
  <c r="N250" i="17"/>
  <c r="O251" i="17"/>
  <c r="M251" i="17"/>
  <c r="N252" i="17"/>
  <c r="M252" i="17"/>
  <c r="O253" i="17"/>
  <c r="M253" i="17"/>
  <c r="O254" i="17"/>
  <c r="M254" i="17"/>
  <c r="N258" i="17"/>
  <c r="O259" i="17"/>
  <c r="M259" i="17"/>
  <c r="N260" i="17"/>
  <c r="M260" i="17"/>
  <c r="M261" i="17"/>
  <c r="M262" i="17"/>
  <c r="N266" i="17"/>
  <c r="N267" i="17"/>
  <c r="O267" i="17"/>
  <c r="M267" i="17"/>
  <c r="O268" i="17"/>
  <c r="M268" i="17"/>
  <c r="N269" i="17"/>
  <c r="M269" i="17"/>
  <c r="N270" i="17"/>
  <c r="O270" i="17"/>
  <c r="M270" i="17"/>
  <c r="N274" i="17"/>
  <c r="O275" i="17"/>
  <c r="M275" i="17"/>
  <c r="N276" i="17"/>
  <c r="O276" i="17"/>
  <c r="M276" i="17"/>
  <c r="O277" i="17"/>
  <c r="M277" i="17"/>
  <c r="O278" i="17"/>
  <c r="M278" i="17"/>
  <c r="N282" i="17"/>
  <c r="O283" i="17"/>
  <c r="M283" i="17"/>
  <c r="N284" i="17"/>
  <c r="M284" i="17"/>
  <c r="O285" i="17"/>
  <c r="M285" i="17"/>
  <c r="M286" i="17"/>
  <c r="M289" i="17"/>
  <c r="O291" i="17"/>
  <c r="M291" i="17"/>
  <c r="N292" i="17"/>
  <c r="O292" i="17"/>
  <c r="M292" i="17"/>
  <c r="M293" i="17"/>
  <c r="N294" i="17"/>
  <c r="O294" i="17"/>
  <c r="M294" i="17"/>
  <c r="M295" i="17"/>
  <c r="N298" i="17"/>
  <c r="O299" i="17"/>
  <c r="M299" i="17"/>
  <c r="N300" i="17"/>
  <c r="O300" i="17"/>
  <c r="M300" i="17"/>
  <c r="M301" i="17"/>
  <c r="M302" i="17"/>
  <c r="N304" i="17"/>
  <c r="N306" i="17"/>
  <c r="O307" i="17"/>
  <c r="M307" i="17"/>
  <c r="N308" i="17"/>
  <c r="M308" i="17"/>
  <c r="N309" i="17"/>
  <c r="O309" i="17"/>
  <c r="M309" i="17"/>
  <c r="M310" i="17"/>
  <c r="M311" i="17"/>
  <c r="M312" i="17"/>
  <c r="O315" i="17"/>
  <c r="M315" i="17"/>
  <c r="N316" i="17"/>
  <c r="O316" i="17"/>
  <c r="M316" i="17"/>
  <c r="O317" i="17"/>
  <c r="M317" i="17"/>
  <c r="N318" i="17"/>
  <c r="O318" i="17"/>
  <c r="M318" i="17"/>
  <c r="N320" i="17"/>
  <c r="O323" i="17"/>
  <c r="M323" i="17"/>
  <c r="N324" i="17"/>
  <c r="M324" i="17"/>
  <c r="O325" i="17"/>
  <c r="M325" i="17"/>
  <c r="O326" i="17"/>
  <c r="M326" i="17"/>
  <c r="N330" i="17"/>
  <c r="O331" i="17"/>
  <c r="M331" i="17"/>
  <c r="M332" i="17"/>
  <c r="N333" i="17"/>
  <c r="O333" i="17"/>
  <c r="M333" i="17"/>
  <c r="N338" i="17"/>
  <c r="N339" i="17"/>
  <c r="O339" i="17"/>
  <c r="M339" i="17"/>
  <c r="N340" i="17"/>
  <c r="O340" i="17"/>
  <c r="M340" i="17"/>
  <c r="O341" i="17"/>
  <c r="M341" i="17"/>
  <c r="N342" i="17"/>
  <c r="O342" i="17"/>
  <c r="M342" i="17"/>
  <c r="N346" i="17"/>
  <c r="O347" i="17"/>
  <c r="M347" i="17"/>
  <c r="N348" i="17"/>
  <c r="O348" i="17"/>
  <c r="M348" i="17"/>
  <c r="M349" i="17"/>
  <c r="O350" i="17"/>
  <c r="M350" i="17"/>
  <c r="M351" i="17"/>
  <c r="N354" i="17"/>
  <c r="M354" i="17"/>
  <c r="O355" i="17"/>
  <c r="M355" i="17"/>
  <c r="N356" i="17"/>
  <c r="O356" i="17"/>
  <c r="M356" i="17"/>
  <c r="O357" i="17"/>
  <c r="M357" i="17"/>
  <c r="N358" i="17"/>
  <c r="O358" i="17"/>
  <c r="M358" i="17"/>
  <c r="N360" i="17"/>
  <c r="M361" i="17"/>
  <c r="N362" i="17"/>
  <c r="O363" i="17"/>
  <c r="M363" i="17"/>
  <c r="N364" i="17"/>
  <c r="M364" i="17"/>
  <c r="O365" i="17"/>
  <c r="M365" i="17"/>
  <c r="O366" i="17"/>
  <c r="M366" i="17"/>
  <c r="N370" i="17"/>
  <c r="O371" i="17"/>
  <c r="M371" i="17"/>
  <c r="N372" i="17"/>
  <c r="O372" i="17"/>
  <c r="M372" i="17"/>
  <c r="N373" i="17"/>
  <c r="O373" i="17"/>
  <c r="M373" i="17"/>
  <c r="O374" i="17"/>
  <c r="M374" i="17"/>
  <c r="M377" i="17"/>
  <c r="N378" i="17"/>
  <c r="O379" i="17"/>
  <c r="M379" i="17"/>
  <c r="N380" i="17"/>
  <c r="O380" i="17"/>
  <c r="M380" i="17"/>
  <c r="M381" i="17"/>
  <c r="O382" i="17"/>
  <c r="M382" i="17"/>
  <c r="N384" i="17"/>
  <c r="O387" i="17"/>
  <c r="M387" i="17"/>
  <c r="N388" i="17"/>
  <c r="O389" i="17"/>
  <c r="M389" i="17"/>
  <c r="O390" i="17"/>
  <c r="M390" i="17"/>
  <c r="N394" i="17"/>
  <c r="O395" i="17"/>
  <c r="M395" i="17"/>
  <c r="N396" i="17"/>
  <c r="O396" i="17"/>
  <c r="M396" i="17"/>
  <c r="O397" i="17"/>
  <c r="M397" i="17"/>
  <c r="O398" i="17"/>
  <c r="M398" i="17"/>
  <c r="N400" i="17"/>
  <c r="N402" i="17"/>
  <c r="O403" i="17"/>
  <c r="M403" i="17"/>
  <c r="N404" i="17"/>
  <c r="O404" i="17"/>
  <c r="M404" i="17"/>
  <c r="M405" i="17"/>
  <c r="M406" i="17"/>
  <c r="N408" i="17"/>
  <c r="N410" i="17"/>
  <c r="M410" i="17"/>
  <c r="O411" i="17"/>
  <c r="M411" i="17"/>
  <c r="O412" i="17"/>
  <c r="M412" i="17"/>
  <c r="O413" i="17"/>
  <c r="M413" i="17"/>
  <c r="N414" i="17"/>
  <c r="O414" i="17"/>
  <c r="M414" i="17"/>
  <c r="N418" i="17"/>
  <c r="O419" i="17"/>
  <c r="M419" i="17"/>
  <c r="N420" i="17"/>
  <c r="O420" i="17"/>
  <c r="M420" i="17"/>
  <c r="M421" i="17"/>
  <c r="O422" i="17"/>
  <c r="M422" i="17"/>
  <c r="N426" i="17"/>
  <c r="O427" i="17"/>
  <c r="M427" i="17"/>
  <c r="N428" i="17"/>
  <c r="M428" i="17"/>
  <c r="O429" i="17"/>
  <c r="M429" i="17"/>
  <c r="N430" i="17"/>
  <c r="O430" i="17"/>
  <c r="M430" i="17"/>
  <c r="N434" i="17"/>
  <c r="O435" i="17"/>
  <c r="M435" i="17"/>
  <c r="N436" i="17"/>
  <c r="O436" i="17"/>
  <c r="M436" i="17"/>
  <c r="O437" i="17"/>
  <c r="M437" i="17"/>
  <c r="O438" i="17"/>
  <c r="M438" i="17"/>
  <c r="N440" i="17"/>
  <c r="N442" i="17"/>
  <c r="O443" i="17"/>
  <c r="M443" i="17"/>
  <c r="N444" i="17"/>
  <c r="M444" i="17"/>
  <c r="O445" i="17"/>
  <c r="M445" i="17"/>
  <c r="N446" i="17"/>
  <c r="M446" i="17"/>
  <c r="M449" i="17"/>
  <c r="N450" i="17"/>
  <c r="O451" i="17"/>
  <c r="M451" i="17"/>
  <c r="N452" i="17"/>
  <c r="M452" i="17"/>
  <c r="O453" i="17"/>
  <c r="M453" i="17"/>
  <c r="N454" i="17"/>
  <c r="O454" i="17"/>
  <c r="M454" i="17"/>
  <c r="N456" i="17"/>
  <c r="N458" i="17"/>
  <c r="O459" i="17"/>
  <c r="M459" i="17"/>
  <c r="N460" i="17"/>
  <c r="O460" i="17"/>
  <c r="M460" i="17"/>
  <c r="O461" i="17"/>
  <c r="M461" i="17"/>
  <c r="O462" i="17"/>
  <c r="M462" i="17"/>
  <c r="N463" i="17"/>
  <c r="N464" i="17"/>
  <c r="M464" i="17"/>
  <c r="M465" i="17"/>
  <c r="N466" i="17"/>
  <c r="O467" i="17"/>
  <c r="M467" i="17"/>
  <c r="N468" i="17"/>
  <c r="O468" i="17"/>
  <c r="M468" i="17"/>
  <c r="O469" i="17"/>
  <c r="M469" i="17"/>
  <c r="M470" i="17"/>
  <c r="O471" i="17"/>
  <c r="N474" i="17"/>
  <c r="O475" i="17"/>
  <c r="M475" i="17"/>
  <c r="N476" i="17"/>
  <c r="O477" i="17"/>
  <c r="M477" i="17"/>
  <c r="O478" i="17"/>
  <c r="M478" i="17"/>
  <c r="N480" i="17"/>
  <c r="M480" i="17"/>
  <c r="N482" i="17"/>
  <c r="O483" i="17"/>
  <c r="M483" i="17"/>
  <c r="N484" i="17"/>
  <c r="O484" i="17"/>
  <c r="M484" i="17"/>
  <c r="O485" i="17"/>
  <c r="M485" i="17"/>
  <c r="O486" i="17"/>
  <c r="M486" i="17"/>
  <c r="O487" i="17"/>
  <c r="M487" i="17"/>
  <c r="O491" i="17"/>
  <c r="M491" i="17"/>
  <c r="M492" i="17"/>
  <c r="N493" i="17"/>
  <c r="O493" i="17"/>
  <c r="M493" i="17"/>
  <c r="O494" i="17"/>
  <c r="M494" i="17"/>
  <c r="N498" i="17"/>
  <c r="O499" i="17"/>
  <c r="M499" i="17"/>
  <c r="N500" i="17"/>
  <c r="O500" i="17"/>
  <c r="M500" i="17"/>
  <c r="N501" i="17"/>
  <c r="M501" i="17"/>
  <c r="O502" i="17"/>
  <c r="M502" i="17"/>
  <c r="N506" i="17"/>
  <c r="O507" i="17"/>
  <c r="M507" i="17"/>
  <c r="O508" i="17"/>
  <c r="M508" i="17"/>
  <c r="O509" i="17"/>
  <c r="M509" i="17"/>
  <c r="M510" i="17"/>
  <c r="M511" i="17"/>
  <c r="N514" i="17"/>
  <c r="O515" i="17"/>
  <c r="M515" i="17"/>
  <c r="O516" i="17"/>
  <c r="M516" i="17"/>
  <c r="O517" i="17"/>
  <c r="M517" i="17"/>
  <c r="N518" i="17"/>
  <c r="O518" i="17"/>
  <c r="M518" i="17"/>
  <c r="N522" i="17"/>
  <c r="O523" i="17"/>
  <c r="M523" i="17"/>
  <c r="O524" i="17"/>
  <c r="M524" i="17"/>
  <c r="O525" i="17"/>
  <c r="M525" i="17"/>
  <c r="O526" i="17"/>
  <c r="M526" i="17"/>
  <c r="N530" i="17"/>
  <c r="O531" i="17"/>
  <c r="M531" i="17"/>
  <c r="N532" i="17"/>
  <c r="O532" i="17"/>
  <c r="M532" i="17"/>
  <c r="O533" i="17"/>
  <c r="M533" i="17"/>
  <c r="O534" i="17"/>
  <c r="M534" i="17"/>
  <c r="M535" i="17"/>
  <c r="M537" i="17"/>
  <c r="N538" i="17"/>
  <c r="O539" i="17"/>
  <c r="M539" i="17"/>
  <c r="N540" i="17"/>
  <c r="O540" i="17"/>
  <c r="M540" i="17"/>
  <c r="N541" i="17"/>
  <c r="O541" i="17"/>
  <c r="M541" i="17"/>
  <c r="O542" i="17"/>
  <c r="M542" i="17"/>
  <c r="N544" i="17"/>
  <c r="N546" i="17"/>
  <c r="M546" i="17"/>
  <c r="O547" i="17"/>
  <c r="M547" i="17"/>
  <c r="M548" i="17"/>
  <c r="O549" i="17"/>
  <c r="M549" i="17"/>
  <c r="O550" i="17"/>
  <c r="M550" i="17"/>
  <c r="N554" i="17"/>
  <c r="O555" i="17"/>
  <c r="M555" i="17"/>
  <c r="O556" i="17"/>
  <c r="M556" i="17"/>
  <c r="O557" i="17"/>
  <c r="M557" i="17"/>
  <c r="N558" i="17"/>
  <c r="O558" i="17"/>
  <c r="M558" i="17"/>
  <c r="N562" i="17"/>
  <c r="O563" i="17"/>
  <c r="M563" i="17"/>
  <c r="N564" i="17"/>
  <c r="O564" i="17"/>
  <c r="M564" i="17"/>
  <c r="N565" i="17"/>
  <c r="O565" i="17"/>
  <c r="M565" i="17"/>
  <c r="O566" i="17"/>
  <c r="M566" i="17"/>
  <c r="N568" i="17"/>
  <c r="O571" i="17"/>
  <c r="M571" i="17"/>
  <c r="O572" i="17"/>
  <c r="M573" i="17"/>
  <c r="O574" i="17"/>
  <c r="M574" i="17"/>
  <c r="N578" i="17"/>
  <c r="O579" i="17"/>
  <c r="M579" i="17"/>
  <c r="O580" i="17"/>
  <c r="M580" i="17"/>
  <c r="O581" i="17"/>
  <c r="M581" i="17"/>
  <c r="N582" i="17"/>
  <c r="O582" i="17"/>
  <c r="M582" i="17"/>
  <c r="N586" i="17"/>
  <c r="O587" i="17"/>
  <c r="M587" i="17"/>
  <c r="N588" i="17"/>
  <c r="O588" i="17"/>
  <c r="M588" i="17"/>
  <c r="O589" i="17"/>
  <c r="M589" i="17"/>
  <c r="O590" i="17"/>
  <c r="M590" i="17"/>
  <c r="N594" i="17"/>
  <c r="O595" i="17"/>
  <c r="M595" i="17"/>
  <c r="M596" i="17"/>
  <c r="O597" i="17"/>
  <c r="M597" i="17"/>
  <c r="O598" i="17"/>
  <c r="M598" i="17"/>
  <c r="N600" i="17"/>
  <c r="N602" i="17"/>
  <c r="M602" i="17"/>
  <c r="O603" i="17"/>
  <c r="M603" i="17"/>
  <c r="O604" i="17"/>
  <c r="M604" i="17"/>
  <c r="O605" i="17"/>
  <c r="M605" i="17"/>
  <c r="O606" i="17"/>
  <c r="M606" i="17"/>
  <c r="N610" i="17"/>
  <c r="N611" i="17"/>
  <c r="O611" i="17"/>
  <c r="M611" i="17"/>
  <c r="O612" i="17"/>
  <c r="O613" i="17"/>
  <c r="M613" i="17"/>
  <c r="N614" i="17"/>
  <c r="O614" i="17"/>
  <c r="M614" i="17"/>
  <c r="N616" i="17"/>
  <c r="N618" i="17"/>
  <c r="O619" i="17"/>
  <c r="M619" i="17"/>
  <c r="N620" i="17"/>
  <c r="O620" i="17"/>
  <c r="M620" i="17"/>
  <c r="O621" i="17"/>
  <c r="M621" i="17"/>
  <c r="M622" i="17"/>
  <c r="N623" i="17"/>
  <c r="M623" i="17"/>
  <c r="N624" i="17"/>
  <c r="N626" i="17"/>
  <c r="O627" i="17"/>
  <c r="M627" i="17"/>
  <c r="O628" i="17"/>
  <c r="M628" i="17"/>
  <c r="O629" i="17"/>
  <c r="M629" i="17"/>
  <c r="N630" i="17"/>
  <c r="O630" i="17"/>
  <c r="M630" i="17"/>
  <c r="O631" i="17"/>
  <c r="N634" i="17"/>
  <c r="O635" i="17"/>
  <c r="M635" i="17"/>
  <c r="N636" i="17"/>
  <c r="O636" i="17"/>
  <c r="M636" i="17"/>
  <c r="M637" i="17"/>
  <c r="O638" i="17"/>
  <c r="M638" i="17"/>
  <c r="N640" i="17"/>
  <c r="N642" i="17"/>
  <c r="O643" i="17"/>
  <c r="M643" i="17"/>
  <c r="N644" i="17"/>
  <c r="O644" i="17"/>
  <c r="M644" i="17"/>
  <c r="N645" i="17"/>
  <c r="O645" i="17"/>
  <c r="M645" i="17"/>
  <c r="O646" i="17"/>
  <c r="M646" i="17"/>
  <c r="M647" i="17"/>
  <c r="N648" i="17"/>
  <c r="O651" i="17"/>
  <c r="M651" i="17"/>
  <c r="O652" i="17"/>
  <c r="M652" i="17"/>
  <c r="M653" i="17"/>
  <c r="O654" i="17"/>
  <c r="M654" i="17"/>
  <c r="M655" i="17"/>
  <c r="N656" i="17"/>
  <c r="N658" i="17"/>
  <c r="O659" i="17"/>
  <c r="M659" i="17"/>
  <c r="O660" i="17"/>
  <c r="M660" i="17"/>
  <c r="O661" i="17"/>
  <c r="M661" i="17"/>
  <c r="N662" i="17"/>
  <c r="M662" i="17"/>
  <c r="N666" i="17"/>
  <c r="O667" i="17"/>
  <c r="M667" i="17"/>
  <c r="O668" i="17"/>
  <c r="M668" i="17"/>
  <c r="O669" i="17"/>
  <c r="M669" i="17"/>
  <c r="O670" i="17"/>
  <c r="M670" i="17"/>
  <c r="M673" i="17"/>
  <c r="N674" i="17"/>
  <c r="O675" i="17"/>
  <c r="M675" i="17"/>
  <c r="M676" i="17"/>
  <c r="N677" i="17"/>
  <c r="O677" i="17"/>
  <c r="M677" i="17"/>
  <c r="M678" i="17"/>
  <c r="N680" i="17"/>
  <c r="N682" i="17"/>
  <c r="O683" i="17"/>
  <c r="M683" i="17"/>
  <c r="O684" i="17"/>
  <c r="M684" i="17"/>
  <c r="M685" i="17"/>
  <c r="M686" i="17"/>
  <c r="N688" i="17"/>
  <c r="O691" i="17"/>
  <c r="M691" i="17"/>
  <c r="O692" i="17"/>
  <c r="M692" i="17"/>
  <c r="N693" i="17"/>
  <c r="M693" i="17"/>
  <c r="O694" i="17"/>
  <c r="M694" i="17"/>
  <c r="N696" i="17"/>
  <c r="N698" i="17"/>
  <c r="M698" i="17"/>
  <c r="O699" i="17"/>
  <c r="M699" i="17"/>
  <c r="O700" i="17"/>
  <c r="M700" i="17"/>
  <c r="O701" i="17"/>
  <c r="M701" i="17"/>
  <c r="N702" i="17"/>
  <c r="O702" i="17"/>
  <c r="M702" i="17"/>
  <c r="N706" i="17"/>
  <c r="O707" i="17"/>
  <c r="M707" i="17"/>
  <c r="N708" i="17"/>
  <c r="O708" i="17"/>
  <c r="M708" i="17"/>
  <c r="M709" i="17"/>
  <c r="O710" i="17"/>
  <c r="M710" i="17"/>
  <c r="N714" i="17"/>
  <c r="O715" i="17"/>
  <c r="M715" i="17"/>
  <c r="N717" i="17"/>
  <c r="O717" i="17"/>
  <c r="M717" i="17"/>
  <c r="N718" i="17"/>
  <c r="O718" i="17"/>
  <c r="M718" i="17"/>
  <c r="M719" i="17"/>
  <c r="N722" i="17"/>
  <c r="O723" i="17"/>
  <c r="M723" i="17"/>
  <c r="O724" i="17"/>
  <c r="M724" i="17"/>
  <c r="O725" i="17"/>
  <c r="M725" i="17"/>
  <c r="M726" i="17"/>
  <c r="O727" i="17"/>
  <c r="M729" i="17"/>
  <c r="N730" i="17"/>
  <c r="O731" i="17"/>
  <c r="M731" i="17"/>
  <c r="O732" i="17"/>
  <c r="O733" i="17"/>
  <c r="M733" i="17"/>
  <c r="O734" i="17"/>
  <c r="M734" i="17"/>
  <c r="N738" i="17"/>
  <c r="O739" i="17"/>
  <c r="M739" i="17"/>
  <c r="O740" i="17"/>
  <c r="M740" i="17"/>
  <c r="N741" i="17"/>
  <c r="O741" i="17"/>
  <c r="M741" i="17"/>
  <c r="O742" i="17"/>
  <c r="M742" i="17"/>
  <c r="N746" i="17"/>
  <c r="M746" i="17"/>
  <c r="O747" i="17"/>
  <c r="M747" i="17"/>
  <c r="O748" i="17"/>
  <c r="M748" i="17"/>
  <c r="O749" i="17"/>
  <c r="M749" i="17"/>
  <c r="N750" i="17"/>
  <c r="O750" i="17"/>
  <c r="M750" i="17"/>
  <c r="N752" i="17"/>
  <c r="M752" i="17"/>
  <c r="N754" i="17"/>
  <c r="O755" i="17"/>
  <c r="M755" i="17"/>
  <c r="O756" i="17"/>
  <c r="M756" i="17"/>
  <c r="O757" i="17"/>
  <c r="M757" i="17"/>
  <c r="O758" i="17"/>
  <c r="M758" i="17"/>
  <c r="N762" i="17"/>
  <c r="O763" i="17"/>
  <c r="M763" i="17"/>
  <c r="O764" i="17"/>
  <c r="M764" i="17"/>
  <c r="N765" i="17"/>
  <c r="O765" i="17"/>
  <c r="M765" i="17"/>
  <c r="M766" i="17"/>
  <c r="N768" i="17"/>
  <c r="M769" i="17"/>
  <c r="O771" i="17"/>
  <c r="M771" i="17"/>
  <c r="O772" i="17"/>
  <c r="O773" i="17"/>
  <c r="M773" i="17"/>
  <c r="N774" i="17"/>
  <c r="O774" i="17"/>
  <c r="M774" i="17"/>
  <c r="N776" i="17"/>
  <c r="N778" i="17"/>
  <c r="O779" i="17"/>
  <c r="M779" i="17"/>
  <c r="O780" i="17"/>
  <c r="M780" i="17"/>
  <c r="O781" i="17"/>
  <c r="M781" i="17"/>
  <c r="O782" i="17"/>
  <c r="M782" i="17"/>
  <c r="N786" i="17"/>
  <c r="O787" i="17"/>
  <c r="M787" i="17"/>
  <c r="O788" i="17"/>
  <c r="M788" i="17"/>
  <c r="O789" i="17"/>
  <c r="M789" i="17"/>
  <c r="N790" i="17"/>
  <c r="O790" i="17"/>
  <c r="M790" i="17"/>
  <c r="N794" i="17"/>
  <c r="O795" i="17"/>
  <c r="M795" i="17"/>
  <c r="O796" i="17"/>
  <c r="N797" i="17"/>
  <c r="O797" i="17"/>
  <c r="M797" i="17"/>
  <c r="O798" i="17"/>
  <c r="M798" i="17"/>
  <c r="M800" i="17"/>
  <c r="N802" i="17"/>
  <c r="O803" i="17"/>
  <c r="M803" i="17"/>
  <c r="O804" i="17"/>
  <c r="M804" i="17"/>
  <c r="N805" i="17"/>
  <c r="M805" i="17"/>
  <c r="M806" i="17"/>
  <c r="N808" i="17"/>
  <c r="M808" i="17"/>
  <c r="M809" i="17"/>
  <c r="N810" i="17"/>
  <c r="M810" i="17"/>
  <c r="O811" i="17"/>
  <c r="M811" i="17"/>
  <c r="O812" i="17"/>
  <c r="M812" i="17"/>
  <c r="N813" i="17"/>
  <c r="O813" i="17"/>
  <c r="M813" i="17"/>
  <c r="O814" i="17"/>
  <c r="M814" i="17"/>
  <c r="N818" i="17"/>
  <c r="O819" i="17"/>
  <c r="M819" i="17"/>
  <c r="O820" i="17"/>
  <c r="M820" i="17"/>
  <c r="O821" i="17"/>
  <c r="M821" i="17"/>
  <c r="O822" i="17"/>
  <c r="M822" i="17"/>
  <c r="O823" i="17"/>
  <c r="N826" i="17"/>
  <c r="N827" i="17"/>
  <c r="O827" i="17"/>
  <c r="M827" i="17"/>
  <c r="O828" i="17"/>
  <c r="M828" i="17"/>
  <c r="O829" i="17"/>
  <c r="M829" i="17"/>
  <c r="N830" i="17"/>
  <c r="O830" i="17"/>
  <c r="M830" i="17"/>
  <c r="N834" i="17"/>
  <c r="O835" i="17"/>
  <c r="M835" i="17"/>
  <c r="O836" i="17"/>
  <c r="M836" i="17"/>
  <c r="O837" i="17"/>
  <c r="M837" i="17"/>
  <c r="O838" i="17"/>
  <c r="M838" i="17"/>
  <c r="N840" i="17"/>
  <c r="N842" i="17"/>
  <c r="O843" i="17"/>
  <c r="M843" i="17"/>
  <c r="M844" i="17"/>
  <c r="N845" i="17"/>
  <c r="M845" i="17"/>
  <c r="O846" i="17"/>
  <c r="M846" i="17"/>
  <c r="M847" i="17"/>
  <c r="M850" i="17"/>
  <c r="N851" i="17"/>
  <c r="O851" i="17"/>
  <c r="M851" i="17"/>
  <c r="O852" i="17"/>
  <c r="M852" i="17"/>
  <c r="O853" i="17"/>
  <c r="M853" i="17"/>
  <c r="N854" i="17"/>
  <c r="O854" i="17"/>
  <c r="M854" i="17"/>
  <c r="M855" i="17"/>
  <c r="N858" i="17"/>
  <c r="O859" i="17"/>
  <c r="M859" i="17"/>
  <c r="O860" i="17"/>
  <c r="M860" i="17"/>
  <c r="M861" i="17"/>
  <c r="O862" i="17"/>
  <c r="M862" i="17"/>
  <c r="M865" i="17"/>
  <c r="N866" i="17"/>
  <c r="O867" i="17"/>
  <c r="M867" i="17"/>
  <c r="O868" i="17"/>
  <c r="M868" i="17"/>
  <c r="O869" i="17"/>
  <c r="M869" i="17"/>
  <c r="N870" i="17"/>
  <c r="O870" i="17"/>
  <c r="M870" i="17"/>
  <c r="N874" i="17"/>
  <c r="O875" i="17"/>
  <c r="M875" i="17"/>
  <c r="M876" i="17"/>
  <c r="N877" i="17"/>
  <c r="O877" i="17"/>
  <c r="M877" i="17"/>
  <c r="M878" i="17"/>
  <c r="N882" i="17"/>
  <c r="O883" i="17"/>
  <c r="M883" i="17"/>
  <c r="O884" i="17"/>
  <c r="M884" i="17"/>
  <c r="O885" i="17"/>
  <c r="M885" i="17"/>
  <c r="M886" i="17"/>
  <c r="O891" i="17"/>
  <c r="M891" i="17"/>
  <c r="O892" i="17"/>
  <c r="M892" i="17"/>
  <c r="O893" i="17"/>
  <c r="M893" i="17"/>
  <c r="O894" i="17"/>
  <c r="M894" i="17"/>
  <c r="N898" i="17"/>
  <c r="O899" i="17"/>
  <c r="M899" i="17"/>
  <c r="O900" i="17"/>
  <c r="M900" i="17"/>
  <c r="N901" i="17"/>
  <c r="O901" i="17"/>
  <c r="M901" i="17"/>
  <c r="N902" i="17"/>
  <c r="O902" i="17"/>
  <c r="M902" i="17"/>
  <c r="M905" i="17"/>
  <c r="N906" i="17"/>
  <c r="O907" i="17"/>
  <c r="M907" i="17"/>
  <c r="O908" i="17"/>
  <c r="M908" i="17"/>
  <c r="N909" i="17"/>
  <c r="O909" i="17"/>
  <c r="M909" i="17"/>
  <c r="M910" i="17"/>
  <c r="N914" i="17"/>
  <c r="O915" i="17"/>
  <c r="M915" i="17"/>
  <c r="O916" i="17"/>
  <c r="M916" i="17"/>
  <c r="M917" i="17"/>
  <c r="O918" i="17"/>
  <c r="M918" i="17"/>
  <c r="N920" i="17"/>
  <c r="N922" i="17"/>
  <c r="O923" i="17"/>
  <c r="M923" i="17"/>
  <c r="O924" i="17"/>
  <c r="M924" i="17"/>
  <c r="O925" i="17"/>
  <c r="M925" i="17"/>
  <c r="N926" i="17"/>
  <c r="O926" i="17"/>
  <c r="M926" i="17"/>
  <c r="N930" i="17"/>
  <c r="O931" i="17"/>
  <c r="M931" i="17"/>
  <c r="O932" i="17"/>
  <c r="M932" i="17"/>
  <c r="N933" i="17"/>
  <c r="O933" i="17"/>
  <c r="M933" i="17"/>
  <c r="O934" i="17"/>
  <c r="M934" i="17"/>
  <c r="N936" i="17"/>
  <c r="O939" i="17"/>
  <c r="M939" i="17"/>
  <c r="O940" i="17"/>
  <c r="M940" i="17"/>
  <c r="M941" i="17"/>
  <c r="O942" i="17"/>
  <c r="M942" i="17"/>
  <c r="N944" i="17"/>
  <c r="M945" i="17"/>
  <c r="N946" i="17"/>
  <c r="O947" i="17"/>
  <c r="M947" i="17"/>
  <c r="O948" i="17"/>
  <c r="M948" i="17"/>
  <c r="O949" i="17"/>
  <c r="M949" i="17"/>
  <c r="O950" i="17"/>
  <c r="M950" i="17"/>
  <c r="N954" i="17"/>
  <c r="O955" i="17"/>
  <c r="M955" i="17"/>
  <c r="O956" i="17"/>
  <c r="M956" i="17"/>
  <c r="N957" i="17"/>
  <c r="O957" i="17"/>
  <c r="M957" i="17"/>
  <c r="O958" i="17"/>
  <c r="M958" i="17"/>
  <c r="N962" i="17"/>
  <c r="O963" i="17"/>
  <c r="M963" i="17"/>
  <c r="O964" i="17"/>
  <c r="M964" i="17"/>
  <c r="N965" i="17"/>
  <c r="O965" i="17"/>
  <c r="M965" i="17"/>
  <c r="O966" i="17"/>
  <c r="M966" i="17"/>
  <c r="N968" i="17"/>
  <c r="M968" i="17"/>
  <c r="N970" i="17"/>
  <c r="O971" i="17"/>
  <c r="M971" i="17"/>
  <c r="O972" i="17"/>
  <c r="M972" i="17"/>
  <c r="O973" i="17"/>
  <c r="M973" i="17"/>
  <c r="O974" i="17"/>
  <c r="M974" i="17"/>
  <c r="M975" i="17"/>
  <c r="N976" i="17"/>
  <c r="N978" i="17"/>
  <c r="O979" i="17"/>
  <c r="M979" i="17"/>
  <c r="N980" i="17"/>
  <c r="O980" i="17"/>
  <c r="M980" i="17"/>
  <c r="O981" i="17"/>
  <c r="M981" i="17"/>
  <c r="O982" i="17"/>
  <c r="M982" i="17"/>
  <c r="M983" i="17"/>
  <c r="M985" i="17"/>
  <c r="N986" i="17"/>
  <c r="O987" i="17"/>
  <c r="M987" i="17"/>
  <c r="O988" i="17"/>
  <c r="M988" i="17"/>
  <c r="O989" i="17"/>
  <c r="M989" i="17"/>
  <c r="O990" i="17"/>
  <c r="M990" i="17"/>
  <c r="N994" i="17"/>
  <c r="O995" i="17"/>
  <c r="M995" i="17"/>
  <c r="O996" i="17"/>
  <c r="M996" i="17"/>
  <c r="O997" i="17"/>
  <c r="M997" i="17"/>
  <c r="O998" i="17"/>
  <c r="M998" i="17"/>
  <c r="O999" i="17"/>
  <c r="N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<sst xmlns="http://schemas.openxmlformats.org/spreadsheetml/2006/main" count="14006" uniqueCount="6234">
  <si>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</si>
  <si>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</si>
  <si>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</si>
  <si>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</si>
  <si>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</si>
  <si>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</si>
  <si>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</si>
  <si>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</si>
  <si>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</si>
  <si>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</si>
  <si>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</si>
  <si>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</si>
  <si>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</si>
  <si>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</si>
  <si>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</si>
  <si>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</si>
  <si>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</si>
  <si>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</si>
  <si>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</si>
  <si>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</si>
  <si>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</si>
  <si>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</si>
  <si>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</si>
  <si>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</si>
  <si>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</si>
  <si>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</si>
  <si>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</si>
  <si>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</si>
  <si>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</si>
  <si>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</si>
  <si>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</si>
  <si>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</si>
  <si>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</si>
  <si>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</si>
  <si>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</si>
  <si>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</si>
  <si>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</si>
  <si>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</si>
  <si>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</si>
  <si>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</si>
  <si>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</si>
  <si>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</si>
  <si>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</si>
  <si>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</si>
  <si>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</si>
  <si>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</si>
  <si>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</si>
  <si>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</si>
  <si>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</si>
  <si>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</si>
  <si>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</si>
  <si>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</si>
  <si>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</si>
  <si>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</si>
  <si>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</si>
  <si>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</si>
  <si>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</si>
  <si>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</si>
  <si>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</si>
  <si>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</si>
  <si>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</si>
  <si>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</si>
  <si>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</si>
  <si>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</si>
  <si>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</si>
  <si>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</si>
  <si>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</si>
  <si>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</si>
  <si>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</si>
  <si>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</si>
  <si>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</si>
  <si>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</si>
  <si>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</si>
  <si>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</si>
  <si>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</si>
  <si>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</si>
  <si>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</si>
  <si>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</si>
  <si>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</si>
  <si>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</si>
  <si>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</si>
  <si>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</si>
  <si>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</si>
  <si>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</si>
  <si>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</si>
  <si>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</si>
  <si>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</si>
  <si>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</si>
  <si>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</si>
  <si>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</si>
  <si>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</si>
  <si>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</si>
  <si>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</si>
  <si>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</si>
  <si>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</si>
  <si>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</si>
  <si>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</si>
  <si>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</si>
  <si>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</si>
  <si>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</si>
  <si>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</si>
  <si>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</si>
  <si>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</si>
  <si>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</si>
  <si>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</si>
  <si>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</si>
  <si>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</si>
  <si>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</si>
  <si>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</si>
  <si>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</si>
  <si>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</si>
  <si>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</si>
  <si>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</si>
  <si>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</si>
  <si>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</si>
  <si>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</si>
  <si>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</si>
  <si>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</si>
  <si>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</si>
  <si>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</si>
  <si>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</si>
  <si>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</si>
  <si>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</si>
  <si>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</si>
  <si>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</si>
  <si>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</si>
  <si>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</si>
  <si>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</si>
  <si>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</si>
  <si>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</si>
  <si>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</si>
  <si>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</si>
  <si>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</si>
  <si>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</si>
  <si>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</si>
  <si>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</si>
  <si>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</si>
  <si>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</si>
  <si>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</si>
  <si>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</si>
  <si>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</si>
  <si>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</si>
  <si>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</si>
  <si>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</si>
  <si>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</si>
  <si>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</si>
  <si>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</si>
  <si>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</si>
  <si>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</si>
  <si>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</si>
  <si>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</si>
  <si>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</si>
  <si>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</si>
  <si>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</si>
  <si>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</si>
  <si>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</si>
  <si>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</si>
  <si>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</si>
  <si>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</si>
  <si>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</si>
  <si>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</si>
  <si>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</si>
  <si>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</si>
  <si>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</si>
  <si>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</si>
  <si>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</si>
  <si>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</si>
  <si>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</si>
  <si>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</si>
  <si>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</si>
  <si>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</si>
  <si>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</si>
  <si>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</si>
  <si>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</si>
  <si>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</si>
  <si>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</si>
  <si>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</si>
  <si>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</si>
  <si>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</si>
  <si>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</si>
  <si>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</si>
  <si>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</si>
  <si>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</si>
  <si>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</si>
  <si>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</si>
  <si>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</si>
  <si>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</si>
  <si>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</si>
  <si>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</si>
  <si>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</si>
  <si>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</si>
  <si>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</si>
  <si>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</si>
  <si>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</si>
  <si>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</si>
  <si>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</si>
  <si>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</si>
  <si>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</si>
  <si>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</si>
  <si>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</si>
  <si>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</si>
  <si>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</si>
  <si>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</si>
  <si>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</si>
  <si>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</si>
  <si>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</si>
  <si>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</si>
  <si>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</si>
  <si>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</si>
  <si>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</si>
  <si>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</si>
  <si>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</si>
  <si>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</si>
  <si>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</si>
  <si>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</si>
  <si>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</si>
  <si>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</si>
  <si>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</si>
  <si>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</si>
  <si>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</si>
  <si>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</si>
  <si>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</si>
  <si>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</si>
  <si>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</si>
  <si>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</si>
  <si>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</si>
  <si>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</si>
  <si>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</si>
  <si>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</si>
  <si>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</si>
  <si>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</si>
  <si>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</si>
  <si>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</si>
  <si>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</si>
  <si>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</si>
  <si>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</si>
  <si>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</si>
  <si>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</si>
  <si>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</si>
  <si>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</si>
  <si>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</si>
  <si>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</si>
  <si>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</si>
  <si>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</si>
  <si>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</si>
  <si>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</si>
  <si>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</si>
  <si>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</si>
  <si>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</si>
  <si>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</si>
  <si>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</si>
  <si>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</si>
  <si>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</si>
  <si>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</si>
  <si>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</si>
  <si>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</si>
  <si>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</si>
  <si>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</si>
  <si>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</si>
  <si>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</si>
  <si>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</si>
  <si>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</si>
  <si>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</si>
  <si>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</si>
  <si>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</si>
  <si>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</si>
  <si>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</si>
  <si>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</si>
  <si>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</si>
  <si>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</si>
  <si>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</si>
  <si>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</si>
  <si>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</si>
  <si>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</si>
  <si>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</si>
  <si>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</si>
  <si>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</si>
  <si>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</si>
  <si>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</si>
  <si>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</si>
  <si>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</si>
  <si>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</si>
  <si>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</si>
  <si>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</si>
  <si>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</si>
  <si>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</si>
  <si>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</si>
  <si>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</si>
  <si>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</si>
  <si>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</si>
  <si>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</si>
  <si>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</si>
  <si>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</si>
  <si>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</si>
  <si>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</si>
  <si>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</si>
  <si>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</si>
  <si>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</si>
  <si>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</si>
  <si>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</si>
  <si>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</si>
  <si>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</si>
  <si>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</si>
  <si>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</si>
  <si>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</si>
  <si>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</si>
  <si>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</si>
  <si>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</si>
  <si>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</si>
  <si>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</si>
  <si>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</si>
  <si>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</si>
  <si>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</si>
  <si>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</si>
  <si>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</si>
  <si>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</si>
  <si>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</si>
  <si>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</si>
  <si>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</si>
  <si>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</si>
  <si>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</si>
  <si>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</si>
  <si>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</si>
  <si>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</si>
  <si>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</si>
  <si>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</si>
  <si>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</si>
  <si>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</si>
  <si>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</si>
  <si>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</si>
  <si>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</si>
  <si>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</si>
  <si>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</si>
  <si>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</si>
  <si>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</si>
  <si>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</si>
  <si>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</si>
  <si>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</si>
  <si>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</si>
  <si>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</si>
  <si>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</si>
  <si>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</si>
  <si>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</si>
  <si>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</si>
  <si>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</si>
  <si>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</si>
  <si>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</si>
  <si>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</si>
  <si>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</si>
  <si>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</si>
  <si>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</si>
  <si>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</si>
  <si>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</si>
  <si>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</si>
  <si>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</si>
  <si>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</si>
  <si>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</si>
  <si>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</si>
  <si>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</si>
  <si>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</si>
  <si>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</si>
  <si>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</si>
  <si>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</si>
  <si>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</si>
  <si>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</si>
  <si>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</si>
  <si>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</si>
  <si>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</si>
  <si>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</si>
  <si>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</si>
  <si>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</si>
  <si>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</si>
  <si>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</si>
  <si>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</si>
  <si>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</si>
  <si>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</si>
  <si>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</si>
  <si>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</si>
  <si>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</si>
  <si>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</si>
  <si>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</si>
  <si>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</si>
  <si>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</si>
  <si>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</si>
  <si>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</si>
  <si>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</si>
  <si>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</si>
  <si>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</si>
  <si>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</si>
  <si>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</si>
  <si>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</si>
  <si>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</si>
  <si>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</si>
  <si>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</si>
  <si>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</si>
  <si>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</si>
  <si>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</si>
  <si>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</si>
  <si>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</si>
  <si>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</si>
  <si>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</si>
  <si>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</si>
  <si>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</si>
  <si>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</si>
  <si>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</si>
  <si>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</si>
  <si>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</si>
  <si>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</si>
  <si>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</si>
  <si>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</si>
  <si>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</si>
  <si>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</si>
  <si>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</si>
  <si>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</si>
  <si>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</si>
  <si>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</si>
  <si>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</si>
  <si>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</si>
  <si>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</si>
  <si>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</si>
  <si>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</si>
  <si>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</si>
  <si>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</si>
  <si>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</si>
  <si>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</si>
  <si>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</si>
  <si>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</si>
  <si>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</si>
  <si>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</si>
  <si>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</si>
  <si>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</si>
  <si>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</si>
  <si>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</si>
  <si>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</si>
  <si>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</si>
  <si>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</si>
  <si>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</si>
  <si>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</si>
  <si>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</si>
  <si>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</si>
  <si>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</si>
  <si>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</si>
  <si>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</si>
  <si>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</si>
  <si>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</si>
  <si>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</si>
  <si>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</si>
  <si>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</si>
  <si>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</si>
  <si>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</si>
  <si>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</si>
  <si>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</si>
  <si>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</si>
  <si>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</si>
  <si>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</si>
  <si>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</si>
  <si>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</si>
  <si>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</si>
  <si>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</si>
  <si>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</si>
  <si>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</si>
  <si>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</si>
  <si>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</si>
  <si>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</si>
  <si>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</si>
  <si>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</si>
  <si>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</si>
  <si>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</si>
  <si>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</si>
  <si>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</si>
  <si>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</si>
  <si>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</si>
  <si>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</si>
  <si>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</si>
  <si>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</si>
  <si>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</si>
  <si>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</si>
  <si>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</si>
  <si>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</si>
  <si>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</si>
  <si>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</si>
  <si>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</si>
  <si>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</si>
  <si>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</si>
  <si>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</si>
  <si>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</si>
  <si>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</si>
  <si>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</si>
  <si>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</si>
  <si>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</si>
  <si>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</si>
  <si>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</si>
  <si>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</si>
  <si>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</si>
  <si>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</si>
  <si>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</si>
  <si>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</si>
  <si>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</si>
  <si>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</si>
  <si>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</si>
  <si>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</si>
  <si>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</si>
  <si>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</si>
  <si>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</si>
  <si>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</si>
  <si>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</si>
  <si>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</si>
  <si>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</si>
  <si>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</si>
  <si>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</si>
  <si>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</si>
  <si>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</si>
  <si>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</si>
  <si>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</si>
  <si>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</si>
  <si>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</si>
  <si>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</si>
  <si>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</si>
  <si>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</si>
  <si>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</si>
  <si>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</si>
  <si>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</si>
  <si>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</si>
  <si>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</si>
  <si>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</si>
  <si>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</si>
  <si>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</si>
  <si>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</si>
  <si>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</si>
  <si>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</si>
  <si>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</si>
  <si>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</si>
  <si>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</si>
  <si>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</si>
  <si>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</si>
  <si>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</si>
  <si>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</si>
  <si>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</si>
  <si>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</si>
  <si>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</si>
  <si>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</si>
  <si>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</si>
  <si>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</si>
  <si>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</si>
  <si>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</si>
  <si>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</si>
  <si>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</si>
  <si>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</si>
  <si>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</si>
  <si>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</si>
  <si>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</si>
  <si>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</si>
  <si>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</si>
  <si>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</si>
  <si>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</si>
  <si>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</si>
  <si>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</si>
  <si>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</si>
  <si>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</si>
  <si>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</si>
  <si>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</si>
  <si>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</si>
  <si>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</si>
  <si>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</si>
  <si>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</si>
  <si>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</si>
  <si>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</si>
  <si>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</si>
  <si>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</si>
  <si>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</si>
  <si>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</si>
  <si>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</si>
  <si>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</si>
  <si>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</si>
  <si>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</si>
  <si>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</si>
  <si>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</si>
  <si>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</si>
  <si>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</si>
  <si>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</si>
  <si>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</si>
  <si>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</si>
  <si>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</si>
  <si>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</si>
  <si>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</si>
  <si>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</si>
  <si>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</si>
  <si>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</si>
  <si>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</si>
  <si>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</si>
  <si>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</si>
  <si>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</si>
  <si>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</si>
  <si>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</si>
  <si>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</si>
  <si>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</si>
  <si>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</si>
  <si>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</si>
  <si>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</si>
  <si>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</si>
  <si>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</si>
  <si>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</si>
  <si>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</si>
  <si>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</si>
  <si>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</si>
  <si>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</si>
  <si>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</si>
  <si>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</si>
  <si>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</si>
  <si>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</si>
  <si>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</si>
  <si>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</si>
  <si>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</si>
  <si>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</si>
  <si>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</si>
  <si>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</si>
  <si>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</si>
  <si>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</si>
  <si>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</si>
  <si>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</si>
  <si>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</si>
  <si>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</si>
  <si>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</si>
  <si>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</si>
  <si>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</si>
  <si>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</si>
  <si>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</si>
  <si>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</si>
  <si>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</si>
  <si>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</si>
  <si>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</si>
  <si>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</si>
  <si>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</si>
  <si>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</si>
  <si>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</si>
  <si>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</si>
  <si>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</si>
  <si>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</si>
  <si>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</si>
  <si>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</si>
  <si>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</si>
  <si>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</si>
  <si>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</si>
  <si>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</si>
  <si>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</si>
  <si>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</si>
  <si>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</si>
  <si>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</si>
  <si>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</si>
  <si>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</si>
  <si>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</si>
  <si>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</si>
  <si>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</si>
  <si>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</si>
  <si>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</si>
  <si>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</si>
  <si>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</si>
  <si>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</si>
  <si>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</si>
  <si>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</si>
  <si>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</si>
  <si>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</si>
  <si>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</si>
  <si>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</si>
  <si>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</si>
  <si>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</si>
  <si>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</si>
  <si>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</si>
  <si>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</si>
  <si>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</si>
  <si>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</si>
  <si>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</si>
  <si>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</si>
  <si>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</si>
  <si>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</si>
  <si>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</si>
  <si>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</si>
  <si>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</si>
  <si>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</si>
  <si>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</si>
  <si>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</si>
  <si>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</si>
  <si>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</si>
  <si>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</si>
  <si>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</si>
  <si>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</si>
  <si>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</si>
  <si>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</si>
  <si>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</si>
  <si>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</si>
  <si>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</si>
  <si>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</si>
  <si>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</si>
  <si>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</si>
  <si>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</si>
  <si>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</si>
  <si>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</si>
  <si>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</si>
  <si>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</si>
  <si>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</si>
  <si>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</si>
  <si>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</si>
  <si>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</si>
  <si>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</si>
  <si>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</si>
  <si>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</si>
  <si>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</si>
  <si>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</si>
  <si>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</si>
  <si>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</si>
  <si>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</si>
  <si>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</si>
  <si>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</si>
  <si>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</si>
  <si>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</si>
  <si>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</si>
  <si>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</si>
  <si>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</si>
  <si>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</si>
  <si>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</si>
  <si>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</si>
  <si>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</si>
  <si>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</si>
  <si>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</si>
  <si>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</si>
  <si>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</si>
  <si>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</si>
  <si>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</si>
  <si>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</si>
  <si>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</si>
  <si>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</si>
  <si>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</si>
  <si>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</si>
  <si>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</si>
  <si>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</si>
  <si>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</si>
  <si>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</si>
  <si>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</si>
  <si>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</si>
  <si>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</si>
  <si>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</si>
  <si>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</si>
  <si>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</si>
  <si>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</si>
  <si>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</si>
  <si>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</si>
  <si>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</si>
  <si>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</si>
  <si>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</si>
  <si>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</si>
  <si>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</si>
  <si>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</si>
  <si>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</si>
  <si>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</si>
  <si>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</si>
  <si>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</si>
  <si>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</si>
  <si>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</si>
  <si>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</si>
  <si>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</si>
  <si>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</si>
  <si>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</si>
  <si>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</si>
  <si>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</si>
  <si>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</si>
  <si>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</si>
  <si>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</si>
  <si>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</si>
  <si>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</si>
  <si>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</si>
  <si>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</si>
  <si>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</si>
  <si>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</si>
  <si>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</si>
  <si>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</si>
  <si>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</si>
  <si>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</si>
  <si>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</si>
  <si>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</si>
  <si>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</si>
  <si>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</si>
  <si>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</si>
  <si>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</si>
  <si>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</si>
  <si>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</si>
  <si>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</si>
  <si>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</si>
  <si>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</si>
  <si>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</si>
  <si>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</si>
  <si>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</si>
  <si>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</si>
  <si>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</si>
  <si>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</si>
  <si>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</si>
  <si>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</si>
  <si>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</si>
  <si>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</si>
  <si>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</si>
  <si>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</si>
  <si>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</si>
  <si>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</si>
  <si>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</si>
  <si>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</si>
  <si>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</si>
  <si>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</si>
  <si>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</si>
  <si>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</si>
  <si>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</si>
  <si>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</si>
  <si>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</si>
  <si>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</si>
  <si>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</si>
  <si>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</si>
  <si>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</si>
  <si>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</si>
  <si>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</si>
  <si>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</si>
  <si>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</si>
  <si>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</si>
  <si>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</si>
  <si>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</si>
  <si>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</si>
  <si>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</si>
  <si>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</si>
  <si>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</si>
  <si>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</si>
  <si>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</si>
  <si>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</si>
  <si>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</si>
  <si>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</si>
  <si>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</si>
  <si>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</si>
  <si>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</si>
  <si>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</si>
  <si>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</si>
  <si>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</si>
  <si>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</si>
  <si>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</si>
  <si>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</si>
  <si>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</si>
  <si>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</si>
  <si>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</si>
  <si>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</si>
  <si>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</si>
  <si>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</si>
  <si>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</si>
  <si>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</si>
  <si>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</si>
  <si>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</si>
  <si>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</si>
  <si>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</si>
  <si>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</si>
  <si>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</si>
  <si>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</si>
  <si>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</si>
  <si>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</si>
  <si>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</si>
  <si>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</si>
  <si>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</si>
  <si>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</si>
  <si>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</si>
  <si>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</si>
  <si>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</si>
  <si>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</si>
  <si>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</si>
  <si>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</si>
  <si>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</si>
  <si>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</si>
  <si>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</si>
  <si>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</si>
  <si>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</si>
  <si>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</si>
  <si>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</si>
  <si>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</si>
  <si>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</si>
  <si>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</si>
  <si>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</si>
  <si>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</si>
  <si>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</si>
  <si>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</si>
  <si>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</si>
  <si>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</si>
  <si>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</si>
  <si>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</si>
  <si>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</si>
  <si>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</si>
  <si>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</si>
  <si>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</si>
  <si>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</si>
  <si>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</si>
  <si>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</si>
  <si>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</si>
  <si>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</si>
  <si>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</si>
  <si>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</si>
  <si>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</si>
  <si>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</si>
  <si>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</si>
  <si>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</si>
  <si>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</si>
  <si>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</si>
  <si>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</si>
  <si>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</si>
  <si>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</si>
  <si>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</si>
  <si>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</si>
  <si>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</si>
  <si>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</si>
  <si>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</si>
  <si>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</si>
  <si>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</si>
  <si>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</si>
  <si>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</si>
  <si>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</si>
  <si>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</si>
  <si>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</si>
  <si>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</si>
  <si>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</si>
  <si>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</si>
  <si>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</si>
  <si>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</si>
  <si>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</si>
  <si>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</si>
  <si>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</si>
  <si>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</si>
  <si>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</si>
  <si>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</si>
  <si>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</si>
  <si>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</si>
  <si>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</si>
  <si>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</si>
  <si>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</si>
  <si>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</si>
  <si>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</si>
  <si>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</si>
  <si>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</si>
  <si>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</si>
  <si>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</si>
  <si>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</si>
  <si>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</si>
  <si>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</si>
  <si>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</si>
  <si>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</si>
  <si>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</si>
  <si>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</si>
  <si>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</si>
  <si>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</si>
  <si>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</si>
  <si>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</si>
  <si>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</si>
  <si>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</si>
  <si>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</si>
  <si>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</si>
  <si>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</si>
  <si>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</si>
  <si>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</si>
  <si>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</si>
  <si>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</si>
  <si>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</si>
  <si>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</si>
  <si>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</si>
  <si>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</si>
  <si>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</si>
  <si>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</si>
  <si>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</si>
  <si>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</si>
  <si>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</si>
  <si>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</si>
  <si>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</si>
  <si>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</si>
  <si>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</si>
  <si>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</si>
  <si>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</si>
  <si>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</si>
  <si>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</si>
  <si>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</si>
  <si>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</si>
  <si>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</si>
  <si>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</si>
  <si>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</si>
  <si>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</si>
  <si>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</si>
  <si>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</si>
  <si>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</si>
  <si>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</si>
  <si>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</si>
  <si>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</si>
  <si>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</si>
  <si>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</si>
  <si>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</si>
  <si>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</si>
  <si>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</si>
  <si>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</si>
  <si>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</si>
  <si>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</si>
  <si>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</si>
  <si>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</si>
  <si>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</si>
  <si>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</si>
  <si>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</si>
  <si>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</si>
  <si>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</si>
  <si>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</si>
  <si>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</si>
  <si>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</si>
  <si>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</si>
  <si>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</si>
  <si>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</si>
  <si>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</si>
  <si>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</si>
  <si>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</si>
  <si>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</si>
  <si>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</si>
  <si>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</si>
  <si>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</si>
  <si>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</si>
  <si>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</si>
  <si>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</si>
  <si>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</si>
  <si>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</si>
  <si>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</si>
  <si>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</si>
  <si>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</si>
  <si>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</si>
  <si>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</si>
  <si>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</si>
  <si>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</si>
  <si>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</si>
  <si>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</si>
  <si>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</si>
  <si>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</si>
  <si>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</si>
  <si>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</si>
  <si>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</si>
  <si>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</si>
  <si>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</si>
  <si>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</si>
  <si>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</si>
  <si>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</si>
  <si>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</si>
  <si>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</si>
  <si>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</si>
  <si>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</si>
  <si>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</si>
  <si>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</si>
  <si>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</si>
  <si>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</si>
  <si>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</si>
  <si>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</si>
  <si>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</si>
  <si>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</si>
  <si>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</si>
  <si>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</si>
  <si>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</si>
  <si>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</si>
  <si>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</si>
  <si>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</si>
  <si>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</si>
  <si>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</si>
  <si>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</si>
  <si>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</si>
  <si>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</si>
  <si>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</si>
  <si>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</si>
  <si>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</si>
  <si>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</si>
  <si>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</si>
  <si>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</si>
  <si>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</si>
  <si>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</si>
  <si>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</si>
  <si>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</si>
  <si>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</si>
  <si>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</si>
  <si>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</si>
  <si>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</si>
  <si>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</si>
  <si>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</si>
  <si>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</si>
  <si>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</si>
  <si>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</si>
  <si>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</si>
  <si>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</si>
  <si>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</si>
  <si>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</si>
  <si>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</si>
  <si>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</si>
  <si>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</si>
  <si>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</si>
  <si>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</si>
  <si>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</si>
  <si>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</si>
  <si>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</si>
  <si>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</si>
  <si>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</si>
  <si>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</si>
  <si>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</si>
  <si>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</si>
  <si>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</si>
  <si>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</si>
  <si>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</si>
  <si>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</si>
  <si>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</si>
  <si>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</si>
  <si>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</si>
  <si>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</si>
  <si>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</si>
  <si>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</si>
  <si>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</si>
  <si>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</si>
  <si>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</si>
  <si>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</si>
  <si>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</si>
  <si>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</si>
  <si>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</si>
  <si>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</si>
  <si>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</si>
  <si>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</si>
  <si>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</si>
  <si>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</si>
  <si>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</si>
  <si>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</si>
  <si>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</si>
  <si>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</si>
  <si>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</si>
  <si>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</si>
  <si>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</si>
  <si>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</si>
  <si>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</si>
  <si>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</si>
  <si>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</si>
  <si>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</si>
  <si>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</si>
  <si>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</si>
  <si>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</si>
  <si>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</si>
  <si>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</si>
  <si>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</si>
  <si>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</si>
  <si>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</si>
  <si>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</si>
  <si>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</si>
  <si>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</si>
  <si>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</si>
  <si>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</si>
  <si>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</si>
  <si>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</si>
  <si>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</si>
  <si>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</si>
  <si>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</si>
  <si>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</si>
  <si>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</si>
  <si>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</si>
  <si>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</si>
  <si>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</si>
  <si>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</si>
  <si>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</si>
  <si>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</si>
  <si>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</si>
  <si>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</si>
  <si>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</si>
  <si>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</si>
  <si>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</si>
  <si>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</si>
  <si>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</si>
  <si>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</si>
  <si>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</si>
  <si>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</si>
  <si>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</si>
  <si>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</si>
  <si>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</si>
  <si>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</si>
  <si>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</si>
  <si>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</si>
  <si>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</si>
  <si>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</si>
  <si>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</si>
  <si>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</si>
  <si>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</si>
  <si>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</si>
  <si>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</si>
  <si>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</si>
  <si>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</si>
  <si>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</si>
  <si>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</si>
  <si>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</si>
  <si>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</si>
  <si>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</si>
  <si>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</si>
  <si>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</si>
  <si>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</si>
  <si>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</si>
  <si>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</si>
  <si>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</si>
  <si>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</si>
  <si>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</si>
  <si>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</si>
  <si>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</si>
  <si>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</si>
  <si>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</si>
  <si>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</si>
  <si>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</si>
  <si>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</si>
  <si>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</si>
  <si>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</si>
  <si>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</si>
  <si>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</si>
  <si>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</si>
  <si>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</si>
  <si>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</si>
  <si>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</si>
  <si>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</si>
  <si>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</si>
  <si>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</si>
  <si>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</si>
  <si>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</si>
  <si>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</si>
  <si>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</si>
  <si>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</si>
  <si>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</si>
  <si>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</si>
  <si>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</si>
  <si>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</si>
  <si>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</si>
  <si>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</si>
  <si>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</si>
  <si>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</si>
  <si>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</si>
  <si>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</si>
  <si>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</si>
  <si>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</si>
  <si>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</si>
  <si>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</si>
  <si>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</si>
  <si>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</si>
  <si>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</si>
  <si>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</si>
  <si>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</si>
  <si>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</si>
  <si>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</si>
  <si>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</si>
  <si>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</si>
  <si>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</si>
  <si>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</si>
  <si>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</si>
  <si>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</si>
  <si>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</si>
  <si>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</si>
  <si>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</si>
  <si>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</si>
  <si>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</si>
  <si>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</si>
  <si>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</si>
  <si>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</si>
  <si>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</si>
  <si>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</si>
  <si>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</si>
  <si>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</si>
  <si>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</si>
  <si>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</si>
  <si>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</si>
  <si>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</si>
  <si>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</si>
  <si>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</si>
  <si>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</si>
  <si>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</si>
  <si>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</si>
  <si>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</si>
  <si>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</si>
  <si>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</si>
  <si>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</si>
  <si>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</si>
  <si>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</si>
  <si>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</si>
  <si>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</si>
  <si>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</si>
  <si>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</si>
  <si>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</si>
  <si>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</si>
  <si>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</si>
  <si>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</si>
  <si>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</si>
  <si>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</si>
  <si>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</si>
  <si>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</si>
  <si>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</si>
  <si>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</si>
  <si>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</si>
  <si>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</si>
  <si>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</si>
  <si>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</si>
  <si>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</si>
  <si>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</si>
  <si>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</si>
  <si>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</si>
  <si>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</si>
  <si>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</si>
  <si>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</si>
  <si>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</si>
  <si>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</si>
  <si>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</si>
  <si>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</si>
  <si>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</si>
  <si>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</si>
  <si>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</si>
  <si>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</si>
  <si>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</si>
  <si>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</si>
  <si>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</si>
  <si>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</si>
  <si>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</si>
  <si>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</si>
  <si>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</si>
  <si>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</si>
  <si>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</si>
  <si>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</si>
  <si>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</si>
  <si>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</si>
  <si>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</si>
  <si>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</si>
  <si>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</si>
  <si>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</si>
  <si>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</si>
  <si>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</si>
  <si>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</si>
  <si>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</si>
  <si>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</si>
  <si>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</si>
  <si>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</si>
  <si>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</si>
  <si>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</si>
  <si>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</si>
  <si>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</si>
  <si>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</si>
  <si>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</si>
  <si>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</si>
  <si>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</si>
  <si>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</si>
  <si>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</si>
  <si>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</si>
  <si>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</si>
  <si>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</si>
  <si>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</si>
  <si>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</si>
  <si>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</si>
  <si>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</si>
  <si>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</si>
  <si>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</si>
  <si>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</si>
  <si>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</si>
  <si>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</si>
  <si>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</si>
  <si>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</si>
  <si>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</si>
  <si>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</si>
  <si>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</si>
  <si>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</si>
  <si>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</si>
  <si>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</si>
  <si>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</si>
  <si>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</si>
  <si>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</si>
  <si>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</si>
  <si>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</si>
  <si>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</si>
  <si>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</si>
  <si>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</si>
  <si>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</si>
  <si>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</si>
  <si>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</si>
  <si>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</si>
  <si>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</si>
  <si>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</si>
  <si>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</si>
  <si>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</si>
  <si>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</si>
  <si>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</si>
  <si>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</si>
  <si>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</si>
  <si>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</si>
  <si>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</si>
  <si>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</si>
  <si>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</si>
  <si>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</si>
  <si>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</si>
  <si>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</si>
  <si>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</si>
  <si>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</si>
  <si>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</si>
  <si>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</si>
  <si>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</si>
  <si>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</si>
  <si>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</si>
  <si>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</si>
  <si>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</si>
  <si>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</si>
  <si>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</si>
  <si>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</si>
  <si>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</si>
  <si>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</si>
  <si>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</si>
  <si>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</si>
  <si>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</si>
  <si>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</si>
  <si>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</si>
  <si>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</si>
  <si>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</si>
  <si>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</si>
  <si>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</si>
  <si>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</si>
  <si>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</si>
  <si>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</si>
  <si>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</si>
  <si>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</si>
  <si>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</si>
  <si>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</si>
  <si>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</si>
  <si>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</si>
  <si>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</si>
  <si>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</si>
  <si>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</si>
  <si>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</si>
  <si>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</si>
  <si>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</si>
  <si>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</si>
  <si>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</si>
  <si>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</si>
  <si>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</si>
  <si>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</si>
  <si>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</si>
  <si>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</si>
  <si>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</si>
  <si>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</si>
  <si>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</si>
  <si>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</si>
  <si>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</si>
  <si>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</si>
  <si>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</si>
  <si>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</si>
  <si>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</si>
  <si>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</si>
  <si>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</si>
  <si>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</si>
  <si>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</si>
  <si>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</si>
  <si>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</si>
  <si>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</si>
  <si>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</si>
  <si>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</si>
  <si>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</si>
  <si>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</si>
  <si>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</si>
  <si>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</si>
  <si>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</si>
  <si>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</si>
  <si>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</si>
  <si>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</si>
  <si>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</si>
  <si>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</si>
  <si>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</si>
  <si>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</si>
  <si>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</si>
  <si>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</si>
  <si>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</si>
  <si>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</si>
  <si>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</si>
  <si>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</si>
  <si>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</si>
  <si>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</si>
  <si>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</si>
  <si>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</si>
  <si>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</si>
  <si>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</si>
  <si>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</si>
  <si>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</si>
  <si>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</si>
  <si>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</si>
  <si>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</si>
  <si>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</si>
  <si>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</si>
  <si>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</si>
  <si>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</si>
  <si>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</si>
  <si>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</si>
  <si>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</si>
  <si>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</si>
  <si>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</si>
  <si>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</si>
  <si>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</si>
  <si>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</si>
  <si>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</si>
  <si>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</si>
  <si>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</si>
  <si>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</si>
  <si>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</si>
  <si>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</si>
  <si>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</si>
  <si>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</si>
  <si>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</si>
  <si>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</si>
  <si>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</si>
  <si>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</si>
  <si>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</si>
  <si>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</si>
  <si>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</si>
  <si>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</si>
  <si>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</si>
  <si>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</si>
  <si>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</si>
  <si>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</si>
  <si>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</si>
  <si>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</si>
  <si>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</si>
  <si>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</si>
  <si>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</si>
  <si>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</si>
  <si>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</si>
  <si>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</si>
  <si>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</si>
  <si>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</si>
  <si>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</si>
  <si>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</si>
  <si>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</si>
  <si>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</si>
  <si>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</si>
  <si>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</si>
  <si>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</si>
  <si>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</si>
  <si>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</si>
  <si>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</si>
  <si>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</si>
  <si>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</si>
  <si>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</si>
  <si>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</si>
  <si>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</si>
  <si>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</si>
  <si>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</si>
  <si>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</si>
  <si>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</si>
  <si>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</si>
  <si>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</si>
  <si>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</si>
  <si>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</si>
  <si>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</si>
  <si>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</si>
  <si>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</si>
  <si>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</si>
  <si>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</si>
  <si>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</si>
  <si>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</si>
  <si>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</si>
  <si>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</si>
  <si>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</si>
  <si>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</si>
  <si>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</si>
  <si>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</si>
  <si>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</si>
  <si>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</si>
  <si>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</si>
  <si>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</si>
  <si>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</si>
  <si>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</si>
  <si>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</si>
  <si>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</si>
  <si>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</si>
  <si>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</si>
  <si>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</si>
  <si>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</si>
  <si>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</si>
  <si>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</si>
  <si>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</si>
  <si>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</si>
  <si>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</si>
  <si>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</si>
  <si>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</si>
  <si>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</si>
  <si>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</si>
  <si>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</si>
  <si>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</si>
  <si>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</si>
  <si>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</si>
  <si>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</si>
  <si>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</si>
  <si>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</si>
  <si>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</si>
  <si>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</si>
  <si>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</si>
  <si>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</si>
  <si>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</si>
  <si>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</si>
  <si>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</si>
  <si>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</si>
  <si>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</si>
  <si>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</si>
  <si>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</si>
  <si>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</si>
  <si>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</si>
  <si>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</si>
  <si>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</si>
  <si>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</si>
  <si>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</si>
  <si>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</si>
  <si>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</si>
  <si>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</si>
  <si>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</si>
  <si>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</si>
  <si>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</si>
  <si>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</si>
  <si>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</si>
  <si>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</si>
  <si>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</si>
  <si>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</si>
  <si>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</si>
  <si>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</si>
  <si>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</si>
  <si>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</si>
  <si>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</si>
  <si>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</si>
  <si>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</si>
  <si>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</si>
  <si>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</si>
  <si>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</si>
  <si>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</si>
  <si>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</si>
  <si>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</si>
  <si>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</si>
  <si>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</si>
  <si>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</si>
  <si>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</si>
  <si>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</si>
  <si>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</si>
  <si>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</si>
  <si>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</si>
  <si>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</si>
  <si>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</si>
  <si>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</si>
  <si>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</si>
  <si>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</si>
  <si>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</si>
  <si>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</si>
  <si>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</si>
  <si>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</si>
  <si>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</si>
  <si>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</si>
  <si>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</si>
  <si>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</si>
  <si>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</si>
  <si>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</si>
  <si>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</si>
  <si>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</si>
  <si>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</si>
  <si>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</si>
  <si>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</si>
  <si>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</si>
  <si>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</si>
  <si>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</si>
  <si>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</si>
  <si>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</si>
  <si>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</si>
  <si>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</si>
  <si>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</si>
  <si>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</si>
  <si>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</si>
  <si>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</si>
  <si>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</si>
  <si>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</si>
  <si>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</si>
  <si>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</si>
  <si>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</si>
  <si>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</si>
  <si>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</si>
  <si>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</si>
  <si>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</si>
  <si>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</si>
  <si>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</si>
  <si>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</si>
  <si>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</si>
  <si>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</si>
  <si>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</si>
  <si>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</si>
  <si>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</si>
  <si>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</si>
  <si>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</si>
  <si>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</si>
  <si>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</si>
  <si>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</si>
  <si>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</si>
  <si>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</si>
  <si>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</si>
  <si>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</si>
  <si>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</si>
  <si>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</si>
  <si>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</si>
  <si>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</si>
  <si>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</si>
  <si>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</si>
  <si>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</si>
  <si>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</si>
  <si>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</si>
  <si>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</si>
  <si>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</si>
  <si>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</si>
  <si>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</si>
  <si>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</si>
  <si>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</si>
  <si>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</si>
  <si>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</si>
  <si>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</si>
  <si>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</si>
  <si>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</si>
  <si>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</si>
  <si>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</si>
  <si>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</si>
  <si>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</si>
  <si>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</si>
  <si>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</si>
  <si>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</si>
  <si>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</si>
  <si>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</si>
  <si>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</si>
  <si>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</si>
  <si>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</si>
  <si>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</si>
  <si>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</si>
  <si>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</si>
  <si>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</si>
  <si>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</si>
  <si>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</si>
  <si>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</si>
  <si>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</si>
  <si>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</si>
  <si>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</si>
  <si>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</si>
  <si>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</si>
  <si>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</si>
  <si>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</si>
  <si>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</si>
  <si>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</si>
  <si>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</si>
  <si>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</si>
  <si>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</si>
  <si>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</si>
  <si>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</si>
  <si>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</si>
  <si>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</si>
  <si>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</si>
  <si>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</si>
  <si>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</si>
  <si>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</si>
  <si>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</si>
  <si>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</si>
  <si>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</si>
  <si>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</si>
  <si>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</si>
  <si>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</si>
  <si>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</si>
  <si>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</si>
  <si>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</si>
  <si>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</si>
  <si>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</si>
  <si>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</si>
  <si>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</si>
  <si>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</si>
  <si>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</si>
  <si>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</si>
  <si>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</si>
  <si>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</si>
  <si>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</si>
  <si>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</si>
  <si>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</si>
  <si>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</si>
  <si>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</si>
  <si>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</si>
  <si>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</si>
  <si>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</si>
  <si>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</si>
  <si>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</si>
  <si>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</si>
  <si>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</si>
  <si>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</si>
  <si>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</si>
  <si>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</si>
  <si>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</si>
  <si>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</si>
  <si>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</si>
  <si>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</si>
  <si>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</si>
  <si>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</si>
  <si>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</si>
  <si>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</si>
  <si>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</si>
  <si>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</si>
  <si>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</si>
  <si>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</si>
  <si>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</si>
  <si>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</si>
  <si>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</si>
  <si>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</si>
  <si>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</si>
  <si>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</si>
  <si>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</si>
  <si>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</si>
  <si>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</si>
  <si>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</si>
  <si>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</si>
  <si>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</si>
  <si>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</si>
  <si>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</si>
  <si>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</si>
  <si>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</si>
  <si>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</si>
  <si>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</si>
  <si>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</si>
  <si>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</si>
  <si>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</si>
  <si>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</si>
  <si>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</si>
  <si>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</si>
  <si>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</si>
  <si>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</si>
  <si>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</si>
  <si>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</si>
  <si>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</si>
  <si>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</si>
  <si>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</si>
  <si>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</si>
  <si>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</si>
  <si>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</si>
  <si>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</si>
  <si>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</si>
  <si>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</si>
  <si>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</si>
  <si>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</si>
  <si>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</si>
  <si>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</si>
  <si>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</si>
  <si>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</si>
  <si>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</si>
  <si>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</si>
  <si>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</si>
  <si>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</si>
  <si>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</si>
  <si>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</si>
  <si>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</si>
  <si>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</si>
  <si>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</si>
  <si>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</si>
  <si>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</si>
  <si>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</si>
  <si>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</si>
  <si>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</si>
  <si>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</si>
  <si>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</si>
  <si>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</si>
  <si>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</si>
  <si>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</si>
  <si>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</si>
  <si>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</si>
  <si>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</si>
  <si>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</si>
  <si>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</si>
  <si>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</si>
  <si>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</si>
  <si>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</si>
  <si>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</si>
  <si>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</si>
  <si>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</si>
  <si>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</si>
  <si>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</si>
  <si>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</si>
  <si>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</si>
  <si>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</si>
  <si>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</si>
  <si>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</si>
  <si>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</si>
  <si>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</si>
  <si>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</si>
  <si>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</si>
  <si>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</si>
  <si>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</si>
  <si>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</si>
  <si>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</si>
  <si>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</si>
  <si>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</si>
  <si>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</si>
  <si>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</si>
  <si>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</si>
  <si>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</si>
  <si>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</si>
  <si>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</si>
  <si>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</si>
  <si>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</si>
  <si>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</si>
  <si>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</si>
  <si>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</si>
  <si>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</si>
  <si>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</si>
  <si>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</si>
  <si>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</si>
  <si>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</si>
  <si>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</si>
  <si>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</si>
  <si>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</si>
  <si>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</si>
  <si>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</si>
  <si>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</si>
  <si>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</si>
  <si>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</si>
  <si>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</si>
  <si>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</si>
  <si>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</si>
  <si>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</si>
  <si>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</si>
  <si>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</si>
  <si>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</si>
  <si>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</si>
  <si>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</si>
  <si>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</si>
  <si>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</si>
  <si>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</si>
  <si>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</si>
  <si>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</si>
  <si>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</si>
  <si>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</si>
  <si>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</si>
  <si>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</si>
  <si>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</si>
  <si>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</si>
  <si>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</si>
  <si>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</si>
  <si>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</si>
  <si>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</si>
  <si>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</si>
  <si>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</si>
  <si>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</si>
  <si>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</si>
  <si>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</si>
  <si>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</si>
  <si>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</si>
  <si>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</si>
  <si>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</si>
  <si>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</si>
  <si>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</si>
  <si>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</si>
  <si>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</si>
  <si>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</si>
  <si>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</si>
  <si>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</si>
  <si>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</si>
  <si>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</si>
  <si>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</si>
  <si>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</si>
  <si>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</si>
  <si>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</si>
  <si>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</si>
  <si>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</si>
  <si>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</si>
  <si>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</si>
  <si>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</si>
  <si>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</si>
  <si>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</si>
  <si>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</si>
  <si>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</si>
  <si>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</si>
  <si>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</si>
  <si>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</si>
  <si>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</si>
  <si>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</si>
  <si>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</si>
  <si>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</si>
  <si>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</si>
  <si>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</si>
  <si>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</si>
  <si>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</si>
  <si>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</si>
  <si>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</si>
  <si>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</si>
  <si>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</si>
  <si>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</si>
  <si>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</si>
  <si>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</si>
  <si>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</si>
  <si>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</si>
  <si>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</si>
  <si>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</si>
  <si>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</si>
  <si>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</si>
  <si>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</si>
  <si>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</si>
  <si>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</si>
  <si>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</si>
  <si>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</si>
  <si>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</si>
  <si>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</si>
  <si>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</si>
  <si>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</si>
  <si>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</si>
  <si>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</si>
  <si>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</si>
  <si>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</si>
  <si>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</si>
  <si>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</si>
  <si>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</si>
  <si>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</si>
  <si>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</si>
  <si>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</si>
  <si>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</si>
  <si>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</si>
  <si>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</si>
  <si>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</si>
  <si>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</si>
  <si>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</si>
  <si>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</si>
  <si>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</si>
  <si>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</si>
  <si>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</si>
  <si>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</si>
  <si>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</si>
  <si>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</si>
  <si>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</si>
  <si>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</si>
  <si>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</si>
  <si>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</si>
  <si>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</si>
  <si>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</si>
  <si>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</si>
  <si>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</si>
  <si>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</si>
  <si>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</si>
  <si>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</si>
  <si>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</si>
  <si>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</si>
  <si>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</si>
  <si>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</si>
  <si>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</si>
  <si>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</si>
  <si>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</si>
  <si>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</si>
  <si>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</si>
  <si>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</si>
  <si>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</si>
  <si>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</si>
  <si>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</si>
  <si>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</si>
  <si>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</si>
  <si>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</si>
  <si>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</si>
  <si>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</si>
  <si>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</si>
  <si>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</si>
  <si>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</si>
  <si>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</si>
  <si>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</si>
  <si>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</si>
  <si>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</si>
  <si>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</si>
  <si>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</si>
  <si>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</si>
  <si>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</si>
  <si>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</si>
  <si>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</si>
  <si>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</si>
  <si>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</si>
  <si>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</si>
  <si>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</si>
  <si>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</si>
  <si>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</si>
  <si>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</si>
  <si>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</si>
  <si>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</si>
  <si>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</si>
  <si>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</si>
  <si>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</si>
  <si>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</si>
  <si>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</si>
  <si>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</si>
  <si>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</si>
  <si>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</si>
  <si>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</si>
  <si>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</si>
  <si>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</si>
  <si>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</si>
  <si>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</si>
  <si>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</si>
  <si>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</si>
  <si>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</si>
  <si>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</si>
  <si>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</si>
  <si>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</si>
  <si>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</si>
  <si>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</si>
  <si>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</si>
  <si>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</si>
  <si>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</si>
  <si>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</si>
  <si>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</si>
  <si>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</si>
  <si>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</si>
  <si>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</si>
  <si>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</si>
  <si>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</si>
  <si>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</si>
  <si>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</si>
  <si>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</si>
  <si>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</si>
  <si>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</si>
  <si>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</si>
  <si>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</si>
  <si>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</si>
  <si>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</si>
  <si>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</si>
  <si>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</si>
  <si>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</si>
  <si>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</si>
  <si>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</si>
  <si>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</si>
  <si>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</si>
  <si>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</si>
  <si>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</si>
  <si>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</si>
  <si>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</si>
  <si>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</si>
  <si>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</si>
  <si>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</si>
  <si>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</si>
  <si>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</si>
  <si>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</si>
  <si>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</si>
  <si>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</si>
  <si>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</si>
  <si>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</si>
  <si>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</si>
  <si>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</si>
  <si>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</si>
  <si>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</si>
  <si>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</si>
  <si>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</si>
  <si>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</si>
  <si>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</si>
  <si>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</si>
  <si>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</si>
  <si>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</si>
  <si>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</si>
  <si>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</si>
  <si>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</si>
  <si>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</si>
  <si>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</si>
  <si>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</si>
  <si>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</si>
  <si>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</si>
  <si>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</si>
  <si>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</si>
  <si>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</si>
  <si>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</si>
  <si>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</si>
  <si>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</si>
  <si>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</si>
  <si>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</si>
  <si>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</si>
  <si>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</si>
  <si>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</si>
  <si>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</si>
  <si>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</si>
  <si>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</si>
  <si>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</si>
  <si>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</si>
  <si>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</si>
  <si>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</si>
  <si>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</si>
  <si>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</si>
  <si>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</si>
  <si>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</si>
  <si>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</si>
  <si>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</si>
  <si>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</si>
  <si>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</si>
  <si>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</si>
  <si>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</si>
  <si>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</si>
  <si>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</si>
  <si>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</si>
  <si>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</si>
  <si>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</si>
  <si>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</si>
  <si>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</si>
  <si>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</si>
  <si>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</si>
  <si>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</si>
  <si>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</si>
  <si>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</si>
  <si>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</si>
  <si>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</si>
  <si>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</si>
  <si>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</si>
  <si>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</si>
  <si>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</si>
  <si>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</si>
  <si>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</si>
  <si>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</si>
  <si>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</si>
  <si>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</si>
  <si>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</si>
  <si>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</si>
  <si>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</si>
  <si>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</si>
  <si>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</si>
  <si>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</si>
  <si>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</si>
  <si>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</si>
  <si>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</si>
  <si>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</si>
  <si>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</si>
  <si>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</si>
  <si>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</si>
  <si>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</si>
  <si>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</si>
  <si>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</si>
  <si>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</si>
  <si>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</si>
  <si>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</si>
  <si>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</si>
  <si>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</si>
  <si>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</si>
  <si>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</si>
  <si>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</si>
  <si>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</si>
  <si>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</si>
  <si>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</si>
  <si>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</si>
  <si>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</si>
  <si>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</si>
  <si>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</si>
  <si>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</si>
  <si>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</si>
  <si>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</si>
  <si>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</si>
  <si>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</si>
  <si>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</si>
  <si>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</si>
  <si>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</si>
  <si>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</si>
  <si>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</si>
  <si>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</si>
  <si>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</si>
  <si>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</si>
  <si>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</si>
  <si>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</si>
  <si>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</si>
  <si>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</si>
  <si>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</si>
  <si>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</si>
  <si>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</si>
  <si>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</si>
  <si>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</si>
  <si>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</si>
  <si>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</si>
  <si>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</si>
  <si>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</si>
  <si>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</si>
  <si>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</si>
  <si>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</si>
  <si>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</si>
  <si>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</si>
  <si>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</si>
  <si>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</si>
  <si>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</si>
  <si>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</si>
  <si>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</si>
  <si>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</si>
  <si>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</si>
  <si>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</si>
  <si>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</si>
  <si>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</si>
  <si>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</si>
  <si>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</si>
  <si>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</si>
  <si>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</si>
  <si>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</si>
  <si>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</si>
  <si>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</si>
  <si>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</si>
  <si>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</si>
  <si>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</si>
  <si>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</si>
  <si>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</si>
  <si>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</si>
  <si>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</si>
  <si>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</si>
  <si>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</si>
  <si>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</si>
  <si>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</si>
  <si>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</si>
  <si>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</si>
  <si>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</si>
  <si>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</si>
  <si>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</si>
  <si>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</si>
  <si>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</si>
  <si>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</si>
  <si>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</si>
  <si>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</si>
  <si>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</si>
  <si>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</si>
  <si>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</si>
  <si>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</si>
  <si>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</si>
  <si>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</si>
  <si>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</si>
  <si>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</si>
  <si>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</si>
  <si>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</si>
  <si>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</si>
  <si>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</si>
  <si>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</si>
  <si>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</si>
  <si>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</si>
  <si>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</si>
  <si>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</si>
  <si>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</si>
  <si>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</si>
  <si>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</si>
  <si>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</si>
  <si>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</si>
  <si>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</si>
  <si>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</si>
  <si>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</si>
  <si>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</si>
  <si>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</si>
  <si>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</si>
  <si>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</si>
  <si>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</si>
  <si>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</si>
  <si>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</si>
  <si>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</si>
  <si>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</si>
  <si>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</si>
  <si>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</si>
  <si>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</si>
  <si>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</si>
  <si>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</si>
  <si>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</si>
  <si>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</si>
  <si>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</si>
  <si>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</si>
  <si>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</si>
  <si>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</si>
  <si>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</si>
  <si>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</si>
  <si>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</si>
  <si>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</si>
  <si>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</si>
  <si>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</si>
  <si>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</si>
  <si>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</si>
  <si>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</si>
  <si>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</si>
  <si>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</si>
  <si>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</si>
  <si>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</si>
  <si>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</si>
  <si>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</si>
  <si>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</si>
  <si>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</si>
  <si>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</si>
  <si>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</si>
  <si>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</si>
  <si>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</si>
  <si>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</si>
  <si>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</si>
  <si>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</si>
  <si>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</si>
  <si>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</si>
  <si>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</si>
  <si>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</si>
  <si>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</si>
  <si>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</si>
  <si>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</si>
  <si>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</si>
  <si>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</si>
  <si>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</si>
  <si>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</si>
  <si>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</si>
  <si>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</si>
  <si>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</si>
  <si>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</si>
  <si>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</si>
  <si>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</si>
  <si>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</si>
  <si>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</si>
  <si>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</si>
  <si>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</si>
  <si>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</si>
  <si>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</si>
  <si>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</si>
  <si>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</si>
  <si>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</si>
  <si>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</si>
  <si>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</si>
  <si>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</si>
  <si>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</si>
  <si>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</si>
  <si>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</si>
  <si>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</si>
  <si>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</si>
  <si>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</si>
  <si>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</si>
  <si>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</si>
  <si>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</si>
  <si>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</si>
  <si>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</si>
  <si>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</si>
  <si>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</si>
  <si>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</si>
  <si>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</si>
  <si>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</si>
  <si>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</si>
  <si>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</si>
  <si>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</si>
  <si>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</si>
  <si>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</si>
  <si>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</si>
  <si>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</si>
  <si>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</si>
  <si>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</si>
  <si>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</si>
  <si>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</si>
  <si>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</si>
  <si>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</si>
  <si>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</si>
  <si>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</si>
  <si>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</si>
  <si>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</si>
  <si>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</si>
  <si>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</si>
  <si>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</si>
  <si>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</si>
  <si>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</si>
  <si>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</si>
  <si>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</si>
  <si>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</si>
  <si>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</si>
  <si>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</si>
  <si>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</si>
  <si>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</si>
  <si>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</si>
  <si>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</si>
  <si>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</si>
  <si>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</si>
  <si>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</si>
  <si>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</si>
  <si>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</si>
  <si>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</si>
  <si>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</si>
  <si>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</si>
  <si>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</si>
  <si>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</si>
  <si>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</si>
  <si>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</si>
  <si>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</si>
  <si>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</si>
  <si>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</si>
  <si>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</si>
  <si>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</si>
  <si>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</si>
  <si>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</si>
  <si>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</si>
  <si>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</si>
  <si>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</si>
  <si>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</si>
  <si>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</si>
  <si>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</si>
  <si>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</si>
  <si>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</si>
  <si>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</si>
  <si>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</si>
  <si>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</si>
  <si>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</si>
  <si>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</si>
  <si>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</si>
  <si>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</si>
  <si>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</si>
  <si>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</si>
  <si>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</si>
  <si>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</si>
  <si>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</si>
  <si>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</si>
  <si>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</si>
  <si>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</si>
  <si>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</si>
  <si>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</si>
  <si>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</si>
  <si>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</si>
  <si>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</si>
  <si>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</si>
  <si>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</si>
  <si>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</si>
  <si>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</si>
  <si>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</si>
  <si>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</si>
  <si>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</si>
  <si>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</si>
  <si>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</si>
  <si>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</si>
  <si>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</si>
  <si>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</si>
  <si>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</si>
  <si>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</si>
  <si>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</si>
  <si>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</si>
  <si>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</si>
  <si>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</si>
  <si>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</si>
  <si>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</si>
  <si>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</si>
  <si>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</si>
  <si>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</si>
  <si>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</si>
  <si>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</si>
  <si>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</si>
  <si>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</si>
  <si>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</si>
  <si>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</si>
  <si>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</si>
  <si>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</si>
  <si>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</si>
  <si>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</si>
  <si>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</si>
  <si>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</si>
  <si>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</si>
  <si>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</si>
  <si>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</si>
  <si>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</si>
  <si>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</si>
  <si>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</si>
  <si>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</si>
  <si>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</si>
  <si>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</si>
  <si>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</si>
  <si>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</si>
  <si>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</si>
  <si>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</si>
  <si>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</si>
  <si>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</si>
  <si>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</si>
  <si>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</si>
  <si>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</si>
  <si>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</si>
  <si>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</si>
  <si>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</si>
  <si>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</si>
  <si>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</si>
  <si>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</si>
  <si>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</si>
  <si>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</si>
  <si>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</si>
  <si>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</si>
  <si>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</si>
  <si>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</si>
  <si>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</si>
  <si>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</si>
  <si>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</si>
  <si>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</si>
  <si>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</si>
  <si>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</si>
  <si>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</si>
  <si>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</si>
  <si>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</si>
  <si>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</si>
  <si>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</si>
  <si>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</si>
  <si>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</si>
  <si>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</si>
  <si>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</si>
  <si>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</si>
  <si>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</si>
  <si>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</si>
  <si>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</si>
  <si>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</si>
  <si>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</si>
  <si>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</si>
  <si>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</si>
  <si>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</si>
  <si>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</si>
  <si>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</si>
  <si>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</si>
  <si>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</si>
  <si>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</si>
  <si>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</si>
  <si>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</si>
  <si>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</si>
  <si>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</si>
  <si>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</si>
  <si>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</si>
  <si>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</si>
  <si>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</si>
  <si>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</si>
  <si>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</si>
  <si>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</si>
  <si>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</si>
  <si>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</si>
  <si>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</si>
  <si>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</si>
  <si>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</si>
  <si>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</si>
  <si>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</si>
  <si>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</si>
  <si>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</si>
  <si>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</si>
  <si>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</si>
  <si>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</si>
  <si>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</si>
  <si>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</si>
  <si>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</si>
  <si>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</si>
  <si>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</si>
  <si>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</si>
  <si>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</si>
  <si>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</si>
  <si>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</si>
  <si>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</si>
  <si>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</si>
  <si>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</si>
  <si>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</si>
  <si>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</si>
  <si>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</si>
  <si>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</si>
  <si>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</si>
  <si>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</si>
  <si>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</si>
  <si>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</si>
  <si>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</si>
  <si>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</si>
  <si>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</si>
  <si>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</si>
  <si>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</si>
  <si>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</si>
  <si>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</si>
  <si>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</si>
  <si>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</si>
  <si>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</si>
  <si>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</si>
  <si>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</si>
  <si>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</si>
  <si>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</si>
  <si>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</si>
  <si>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</si>
  <si>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</si>
  <si>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</si>
  <si>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</si>
  <si>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</si>
  <si>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</si>
  <si>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</si>
  <si>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</si>
  <si>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</si>
  <si>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</si>
  <si>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</si>
  <si>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</si>
  <si>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</si>
  <si>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</si>
  <si>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</si>
  <si>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</si>
  <si>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</si>
  <si>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</si>
  <si>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</si>
  <si>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</si>
  <si>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</si>
  <si>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</si>
  <si>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</si>
  <si>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</si>
  <si>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</si>
  <si>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</si>
  <si>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</si>
  <si>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</si>
  <si>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</si>
  <si>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</si>
  <si>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</si>
  <si>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</si>
  <si>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</si>
  <si>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</si>
  <si>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</si>
  <si>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</si>
  <si>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</si>
  <si>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</si>
  <si>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</si>
  <si>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</si>
  <si>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</si>
  <si>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</si>
  <si>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</si>
  <si>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</si>
  <si>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</si>
  <si>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</si>
  <si>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</si>
  <si>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</si>
  <si>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</si>
  <si>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</si>
  <si>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</si>
  <si>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</si>
  <si>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</si>
  <si>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</si>
  <si>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</si>
  <si>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</si>
  <si>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</si>
  <si>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</si>
  <si>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</si>
  <si>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</si>
  <si>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</si>
  <si>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</si>
  <si>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</si>
  <si>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</si>
  <si>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</si>
  <si>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</si>
  <si>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</si>
  <si>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</si>
  <si>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</si>
  <si>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</si>
  <si>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</si>
  <si>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</si>
  <si>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</si>
  <si>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</si>
  <si>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</si>
  <si>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</si>
  <si>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</si>
  <si>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</si>
  <si>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</si>
  <si>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</si>
  <si>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</si>
  <si>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</si>
  <si>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</si>
  <si>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</si>
  <si>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</si>
  <si>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</si>
  <si>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</si>
  <si>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</si>
  <si>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</si>
  <si>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</si>
  <si>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</si>
  <si>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</si>
  <si>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</si>
  <si>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</si>
  <si>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</si>
  <si>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</si>
  <si>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</si>
  <si>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</si>
  <si>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</si>
  <si>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</si>
  <si>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</si>
  <si>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</si>
  <si>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</si>
  <si>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</si>
  <si>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</si>
  <si>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</si>
  <si>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</si>
  <si>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</si>
  <si>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</si>
  <si>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</si>
  <si>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</si>
  <si>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</si>
  <si>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</si>
  <si>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</si>
  <si>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</si>
  <si>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</si>
  <si>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</si>
  <si>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</si>
  <si>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</si>
  <si>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</si>
  <si>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</si>
  <si>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</si>
  <si>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</si>
  <si>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</si>
  <si>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</si>
  <si>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</si>
  <si>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</si>
  <si>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</si>
  <si>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</si>
  <si>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</si>
  <si>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</si>
  <si>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</si>
  <si>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</si>
  <si>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</si>
  <si>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</si>
  <si>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</si>
  <si>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</si>
  <si>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</si>
  <si>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</si>
  <si>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</si>
  <si>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</si>
  <si>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</si>
  <si>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</si>
  <si>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</si>
  <si>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</si>
  <si>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</si>
  <si>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</si>
  <si>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</si>
  <si>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</si>
  <si>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</si>
  <si>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</si>
  <si>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</si>
  <si>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</si>
  <si>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</si>
  <si>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</si>
  <si>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</si>
  <si>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</si>
  <si>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</si>
  <si>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</si>
  <si>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</si>
  <si>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</si>
  <si>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</si>
  <si>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</si>
  <si>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</si>
  <si>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</si>
  <si>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</si>
  <si>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</si>
  <si>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</si>
  <si>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</si>
  <si>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</si>
  <si>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</si>
  <si>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</si>
  <si>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</si>
  <si>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</si>
  <si>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</si>
  <si>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</si>
  <si>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</si>
  <si>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</si>
  <si>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</si>
  <si>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</si>
  <si>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</si>
  <si>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</si>
  <si>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</si>
  <si>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</si>
  <si>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</si>
  <si>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</si>
  <si>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</si>
  <si>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</si>
  <si>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</si>
  <si>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</si>
  <si>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</si>
  <si>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</si>
  <si>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</si>
  <si>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</si>
  <si>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</si>
  <si>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</si>
  <si>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</si>
  <si>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</si>
  <si>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</si>
  <si>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</si>
  <si>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</si>
  <si>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</si>
  <si>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</si>
  <si>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</si>
  <si>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</si>
  <si>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</si>
  <si>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</si>
  <si>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</si>
  <si>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</si>
  <si>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</si>
  <si>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</si>
  <si>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</si>
  <si>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</si>
  <si>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</si>
  <si>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</si>
  <si>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</si>
  <si>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</si>
  <si>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</si>
  <si>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</si>
  <si>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</si>
  <si>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</si>
  <si>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</si>
  <si>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</si>
  <si>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</si>
  <si>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</si>
  <si>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</si>
  <si>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</si>
  <si>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</si>
  <si>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</si>
  <si>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</si>
  <si>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</si>
  <si>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</si>
  <si>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</si>
  <si>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</si>
  <si>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</si>
  <si>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</si>
  <si>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</si>
  <si>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</si>
  <si>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</si>
  <si>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</si>
  <si>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</si>
  <si>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</si>
  <si>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</si>
  <si>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</si>
  <si>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</si>
  <si>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</si>
  <si>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</si>
  <si>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</si>
  <si>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</si>
  <si>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</si>
  <si>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</si>
  <si>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</si>
  <si>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</si>
  <si>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</si>
  <si>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</si>
  <si>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</si>
  <si>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</si>
  <si>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</si>
  <si>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</si>
  <si>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</si>
  <si>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</si>
  <si>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</si>
  <si>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</si>
  <si>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</si>
  <si>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</si>
  <si>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</si>
  <si>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</si>
  <si>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</si>
  <si>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</si>
  <si>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</si>
  <si>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</si>
  <si>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</si>
  <si>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</si>
  <si>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</si>
  <si>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</si>
  <si>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</si>
  <si>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</si>
  <si>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</si>
  <si>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</si>
  <si>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</si>
  <si>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</si>
  <si>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</si>
  <si>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</si>
  <si>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</si>
  <si>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</si>
  <si>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</si>
  <si>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</si>
  <si>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</si>
  <si>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</si>
  <si>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</si>
  <si>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</si>
  <si>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</si>
  <si>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</si>
  <si>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</si>
  <si>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</si>
  <si>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</si>
  <si>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</si>
  <si>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</si>
  <si>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</si>
  <si>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</si>
  <si>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</si>
  <si>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</si>
  <si>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</si>
  <si>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</si>
  <si>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</si>
  <si>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</si>
  <si>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</si>
  <si>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</si>
  <si>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</si>
  <si>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</si>
  <si>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</si>
  <si>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</si>
  <si>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</si>
  <si>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</si>
  <si>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</si>
  <si>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</si>
  <si>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</si>
  <si>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</si>
  <si>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</si>
  <si>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</si>
  <si>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</si>
  <si>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</si>
  <si>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</si>
  <si>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</si>
  <si>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</si>
  <si>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</si>
  <si>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</si>
  <si>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</si>
  <si>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</si>
  <si>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</si>
  <si>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</si>
  <si>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</si>
  <si>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</si>
  <si>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</si>
  <si>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</si>
  <si>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</si>
  <si>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</si>
  <si>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</si>
  <si>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</si>
  <si>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</si>
  <si>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</si>
  <si>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</si>
  <si>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</si>
  <si>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</si>
  <si>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</si>
  <si>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</si>
  <si>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</si>
  <si>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</si>
  <si>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</si>
  <si>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</si>
  <si>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</si>
  <si>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</si>
  <si>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</si>
  <si>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</si>
  <si>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</si>
  <si>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</si>
  <si>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</si>
  <si>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</si>
  <si>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</si>
  <si>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</si>
  <si>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</si>
  <si>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</si>
  <si>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</si>
  <si>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</si>
  <si>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</si>
  <si>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</si>
  <si>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</si>
  <si>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</si>
  <si>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</si>
  <si>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</si>
  <si>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</si>
  <si>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</si>
  <si>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</si>
  <si>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</si>
  <si>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</si>
  <si>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</si>
  <si>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</si>
  <si>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</si>
  <si>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</si>
  <si>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</si>
  <si>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</si>
  <si>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</si>
  <si>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</si>
  <si>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</si>
  <si>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</si>
  <si>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</si>
  <si>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</si>
  <si>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</si>
  <si>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</si>
  <si>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</si>
  <si>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</si>
  <si>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</si>
  <si>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</si>
  <si>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</si>
  <si>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</si>
  <si>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</si>
  <si>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</si>
  <si>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</si>
  <si>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</si>
  <si>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</si>
  <si>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</si>
  <si>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</si>
  <si>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</si>
  <si>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</si>
  <si>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</si>
  <si>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</si>
  <si>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</si>
  <si>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</si>
  <si>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</si>
  <si>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</si>
  <si>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</si>
  <si>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</si>
  <si>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</si>
  <si>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</si>
  <si>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</si>
  <si>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</si>
  <si>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</si>
  <si>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</si>
  <si>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</si>
  <si>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</si>
  <si>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</si>
  <si>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</si>
  <si>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</si>
  <si>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</si>
  <si>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</si>
  <si>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</si>
  <si>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</si>
  <si>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</si>
  <si>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</si>
  <si>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</si>
  <si>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</si>
  <si>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</si>
  <si>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</si>
  <si>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</si>
  <si>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</si>
  <si>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</si>
  <si>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</si>
  <si>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</si>
  <si>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</si>
  <si>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</si>
  <si>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</si>
  <si>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</si>
  <si>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</si>
  <si>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</si>
  <si>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</si>
  <si>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</si>
  <si>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</si>
  <si>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</si>
  <si>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</si>
  <si>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</si>
  <si>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</si>
  <si>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</si>
  <si>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</si>
  <si>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</si>
  <si>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</si>
  <si>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</si>
  <si>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</si>
  <si>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</si>
  <si>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</si>
  <si>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</si>
  <si>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</si>
  <si>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</si>
  <si>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</si>
  <si>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</si>
  <si>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</si>
  <si>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</si>
  <si>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</si>
  <si>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</si>
  <si>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</si>
  <si>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</si>
  <si>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</si>
  <si>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</si>
  <si>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</si>
  <si>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</si>
  <si>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</si>
  <si>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</si>
  <si>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</si>
  <si>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</si>
  <si>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</si>
  <si>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</si>
  <si>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</si>
  <si>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</si>
  <si>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</si>
  <si>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</si>
  <si>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</si>
  <si>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</si>
  <si>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</si>
  <si>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</si>
  <si>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</si>
  <si>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</si>
  <si>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</si>
  <si>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</si>
  <si>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</si>
  <si>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</si>
  <si>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</si>
  <si>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</si>
  <si>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</si>
  <si>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</si>
  <si>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</si>
  <si>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</si>
  <si>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</si>
  <si>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</si>
  <si>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</si>
  <si>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</si>
  <si>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</si>
  <si>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</si>
  <si>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</si>
  <si>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</si>
  <si>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</si>
  <si>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</si>
  <si>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</si>
  <si>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</si>
  <si>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</si>
  <si>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</si>
  <si>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</si>
  <si>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</si>
  <si>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</si>
  <si>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</si>
  <si>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</si>
  <si>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</si>
  <si>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</si>
  <si>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</si>
  <si>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</si>
  <si>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</si>
  <si>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</si>
  <si>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</si>
  <si>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</si>
  <si>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</si>
  <si>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</si>
  <si>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</si>
  <si>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</si>
  <si>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</si>
  <si>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</si>
  <si>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</si>
  <si>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</si>
  <si>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</si>
  <si>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</si>
  <si>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</si>
  <si>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</si>
  <si>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</si>
  <si>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</si>
  <si>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</si>
  <si>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</si>
  <si>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</si>
  <si>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</si>
  <si>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</si>
  <si>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</si>
  <si>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</si>
  <si>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</si>
  <si>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</si>
  <si>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</si>
  <si>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</si>
  <si>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</si>
  <si>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</si>
  <si>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</si>
  <si>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</si>
  <si>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</si>
  <si>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</si>
  <si>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</si>
  <si>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</si>
  <si>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</si>
  <si>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</si>
  <si>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</si>
  <si>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</si>
  <si>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</si>
  <si>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</si>
  <si>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</si>
  <si>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</si>
  <si>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</si>
  <si>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</si>
  <si>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</si>
  <si>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</si>
  <si>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</si>
  <si>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</si>
  <si>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</si>
  <si>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</si>
  <si>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</si>
  <si>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</si>
  <si>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</si>
  <si>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</si>
  <si>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</si>
  <si>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</si>
  <si>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</si>
  <si>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</si>
  <si>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</si>
  <si>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</si>
  <si>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</si>
  <si>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</si>
  <si>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</si>
  <si>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</si>
  <si>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</si>
  <si>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</si>
  <si>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</si>
  <si>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</si>
  <si>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</si>
  <si>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</si>
  <si>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</si>
  <si>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</si>
  <si>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</si>
  <si>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</si>
  <si>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</si>
  <si>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</si>
  <si>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</si>
  <si>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</si>
  <si>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</si>
  <si>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</si>
  <si>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</si>
  <si>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</si>
  <si>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</si>
  <si>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</si>
  <si>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</si>
  <si>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</si>
  <si>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</si>
  <si>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</si>
  <si>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</si>
  <si>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</si>
  <si>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</si>
  <si>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</si>
  <si>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</si>
  <si>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</si>
  <si>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</si>
  <si>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</si>
  <si>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</si>
  <si>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</si>
  <si>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</si>
  <si>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</si>
  <si>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</si>
  <si>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</si>
  <si>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</si>
  <si>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</si>
  <si>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</si>
  <si>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</si>
  <si>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</si>
  <si>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</si>
  <si>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</si>
  <si>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</si>
  <si>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</si>
  <si>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</si>
  <si>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</si>
  <si>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</si>
  <si>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</si>
  <si>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</si>
  <si>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</si>
  <si>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</si>
  <si>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</si>
  <si>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</si>
  <si>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</si>
  <si>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</si>
  <si>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</si>
  <si>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</si>
  <si>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</si>
  <si>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</si>
  <si>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</si>
  <si>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</si>
  <si>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</si>
  <si>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</si>
  <si>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</si>
  <si>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</si>
  <si>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</si>
  <si>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</si>
  <si>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</si>
  <si>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</si>
  <si>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</si>
  <si>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</si>
  <si>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</si>
  <si>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</si>
  <si>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</si>
  <si>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</si>
  <si>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</si>
  <si>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</si>
  <si>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</si>
  <si>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</si>
  <si>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</si>
  <si>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</si>
  <si>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</si>
  <si>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</si>
  <si>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</si>
  <si>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</si>
  <si>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</si>
  <si>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</si>
  <si>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</si>
  <si>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</si>
  <si>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</si>
  <si>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</si>
  <si>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</si>
  <si>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</si>
  <si>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</si>
  <si>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</si>
  <si>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</si>
  <si>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</si>
  <si>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</si>
  <si>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</si>
  <si>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</si>
  <si>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</si>
  <si>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</si>
  <si>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</si>
  <si>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</si>
  <si>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</si>
  <si>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</si>
  <si>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</si>
  <si>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</si>
  <si>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</si>
  <si>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</si>
  <si>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</si>
  <si>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</si>
  <si>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</si>
  <si>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</si>
  <si>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</si>
  <si>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</si>
  <si>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</si>
  <si>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</si>
  <si>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</si>
  <si>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</si>
  <si>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</si>
  <si>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</si>
  <si>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</si>
  <si>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</si>
  <si>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</si>
  <si>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</si>
  <si>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</si>
  <si>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</si>
  <si>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</si>
  <si>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</si>
  <si>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</si>
  <si>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</si>
  <si>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</si>
  <si>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</si>
  <si>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</si>
  <si>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</si>
  <si>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</si>
  <si>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</si>
  <si>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</si>
  <si>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</si>
  <si>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</si>
  <si>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</si>
  <si>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</si>
  <si>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</si>
  <si>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</si>
  <si>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</si>
  <si>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</si>
  <si>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</si>
  <si>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</si>
  <si>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</si>
  <si>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</si>
  <si>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</si>
  <si>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</si>
  <si>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</si>
  <si>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</si>
  <si>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</si>
  <si>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</si>
  <si>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</si>
  <si>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</si>
  <si>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</si>
  <si>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</si>
  <si>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</si>
  <si>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</si>
  <si>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</si>
  <si>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</si>
  <si>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</si>
  <si>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</si>
  <si>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</si>
  <si>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</si>
  <si>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</si>
  <si>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</si>
  <si>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</si>
  <si>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</si>
  <si>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</si>
  <si>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</si>
  <si>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</si>
  <si>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</si>
  <si>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</si>
  <si>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</si>
  <si>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</si>
  <si>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</si>
  <si>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</si>
  <si>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</si>
  <si>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</si>
  <si>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</si>
  <si>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</si>
  <si>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</si>
  <si>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</si>
  <si>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</si>
  <si>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</si>
  <si>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</si>
  <si>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</si>
  <si>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</si>
  <si>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</si>
  <si>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</si>
  <si>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</si>
  <si>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</si>
  <si>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</si>
  <si>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</si>
  <si>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</si>
  <si>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</si>
  <si>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</si>
  <si>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</si>
  <si>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</si>
  <si>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</si>
  <si>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</si>
  <si>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</si>
  <si>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</si>
  <si>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</si>
  <si>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</si>
  <si>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</si>
  <si>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</si>
  <si>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</si>
  <si>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</si>
  <si>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</si>
  <si>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</si>
  <si>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</si>
  <si>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</si>
  <si>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</si>
  <si>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</si>
  <si>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</si>
  <si>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</si>
  <si>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</si>
  <si>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</si>
  <si>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</si>
  <si>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</si>
  <si>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</si>
  <si>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</si>
  <si>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</si>
  <si>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</si>
  <si>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</si>
  <si>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</si>
  <si>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</si>
  <si>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</si>
  <si>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</si>
  <si>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</si>
  <si>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</si>
  <si>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</si>
  <si>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</si>
  <si>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</si>
  <si>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</si>
  <si>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</si>
  <si>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</si>
  <si>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</si>
  <si>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</si>
  <si>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</si>
  <si>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</si>
  <si>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</si>
  <si>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</si>
  <si>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</si>
  <si>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</si>
  <si>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</si>
  <si>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</si>
  <si>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</si>
  <si>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</si>
  <si>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</si>
  <si>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</si>
  <si>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</si>
  <si>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</si>
  <si>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</si>
  <si>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</si>
  <si>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</si>
  <si>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</si>
  <si>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</si>
  <si>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</si>
  <si>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</si>
  <si>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</si>
  <si>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</si>
  <si>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</si>
  <si>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</si>
  <si>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</si>
  <si>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</si>
  <si>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</si>
  <si>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</si>
  <si>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</si>
  <si>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</si>
  <si>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</si>
  <si>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</si>
  <si>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</si>
  <si>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</si>
  <si>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</si>
  <si>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</si>
  <si>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</si>
  <si>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</si>
  <si>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</si>
  <si>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</si>
  <si>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</si>
  <si>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</si>
  <si>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</si>
  <si>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</si>
  <si>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</si>
  <si>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</si>
  <si>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</si>
  <si>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</si>
  <si>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</si>
  <si>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</si>
  <si>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</si>
  <si>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</si>
  <si>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</si>
  <si>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</si>
  <si>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</si>
  <si>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</si>
  <si>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</si>
  <si>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</si>
  <si>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</si>
  <si>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</si>
  <si>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</si>
  <si>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</si>
  <si>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</si>
  <si>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</si>
  <si>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</si>
  <si>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</si>
  <si>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</si>
  <si>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</si>
  <si>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</si>
  <si>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</si>
  <si>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</si>
  <si>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</si>
  <si>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</si>
  <si>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</si>
  <si>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</si>
  <si>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</si>
  <si>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</si>
  <si>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</si>
  <si>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</si>
  <si>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</si>
  <si>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</si>
  <si>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</si>
  <si>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</si>
  <si>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</si>
  <si>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</si>
  <si>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</si>
  <si>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</si>
  <si>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</si>
  <si>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</si>
  <si>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</si>
  <si>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</si>
  <si>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</si>
  <si>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</si>
  <si>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</si>
  <si>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</si>
  <si>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</si>
  <si>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</si>
  <si>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</si>
  <si>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</si>
  <si>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</si>
  <si>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</si>
  <si>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</si>
  <si>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</si>
  <si>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</si>
  <si>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</si>
  <si>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</si>
  <si>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</si>
  <si>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</si>
  <si>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</si>
  <si>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</si>
  <si>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</si>
  <si>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</si>
  <si>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</si>
  <si>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</si>
  <si>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</si>
  <si>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</si>
  <si>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</si>
  <si>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</si>
  <si>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</si>
  <si>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</si>
  <si>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</si>
  <si>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</si>
  <si>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</si>
  <si>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</si>
  <si>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</si>
  <si>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</si>
  <si>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</si>
  <si>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</si>
  <si>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</si>
  <si>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</si>
  <si>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</si>
  <si>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</si>
  <si>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</si>
  <si>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</si>
  <si>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</si>
  <si>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</si>
  <si>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</si>
  <si>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</si>
  <si>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</si>
  <si>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</si>
  <si>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</si>
  <si>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</si>
  <si>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</si>
  <si>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</si>
  <si>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</si>
  <si>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</si>
  <si>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</si>
  <si>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</si>
  <si>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</si>
  <si>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</si>
  <si>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</si>
  <si>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</si>
  <si>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</si>
  <si>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</si>
  <si>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</si>
  <si>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</si>
  <si>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</si>
  <si>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</si>
  <si>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</si>
  <si>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</si>
  <si>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</si>
  <si>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</si>
  <si>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</si>
  <si>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</si>
  <si>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</si>
  <si>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</si>
  <si>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</si>
  <si>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</si>
  <si>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</si>
  <si>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</si>
  <si>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</si>
  <si>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</si>
  <si>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</si>
  <si>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</si>
  <si>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</si>
  <si>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</si>
  <si>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</si>
  <si>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</si>
  <si>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</si>
  <si>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</si>
  <si>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</si>
  <si>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</si>
  <si>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</si>
  <si>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</si>
  <si>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</si>
  <si>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</si>
  <si>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</si>
  <si>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</si>
  <si>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</si>
  <si>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</si>
  <si>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</si>
  <si>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</si>
  <si>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</si>
  <si>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</si>
  <si>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</si>
  <si>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</si>
  <si>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</si>
  <si>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</si>
  <si>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</si>
  <si>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</si>
  <si>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</si>
  <si>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</si>
  <si>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</si>
  <si>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</si>
  <si>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</si>
  <si>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</si>
  <si>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</si>
  <si>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</si>
  <si>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</si>
  <si>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</si>
  <si>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</si>
  <si>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</si>
  <si>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</si>
  <si>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</si>
  <si>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</si>
  <si>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</si>
  <si>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</si>
  <si>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</si>
  <si>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</si>
  <si>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</si>
  <si>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</si>
  <si>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</si>
  <si>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</si>
  <si>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</si>
  <si>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</si>
  <si>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</si>
  <si>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</si>
  <si>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</si>
  <si>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</si>
  <si>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</si>
  <si>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</si>
  <si>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</si>
  <si>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</si>
  <si>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</si>
  <si>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</si>
  <si>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</si>
  <si>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</si>
  <si>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</si>
  <si>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</si>
  <si>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</si>
  <si>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</si>
  <si>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</si>
  <si>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</si>
  <si>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</si>
  <si>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</si>
  <si>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</si>
  <si>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</si>
  <si>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</si>
  <si>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</si>
  <si>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</si>
  <si>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</si>
  <si>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</si>
  <si>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</si>
  <si>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</si>
  <si>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</si>
  <si>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</si>
  <si>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</si>
  <si>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</si>
  <si>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</si>
  <si>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</si>
  <si>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</si>
  <si>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</si>
  <si>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</si>
  <si>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</si>
  <si>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</si>
  <si>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</si>
  <si>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</si>
  <si>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</si>
  <si>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</si>
  <si>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</si>
  <si>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</si>
  <si>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</si>
  <si>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</si>
  <si>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</si>
  <si>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</si>
  <si>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</si>
  <si>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</si>
  <si>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</si>
  <si>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</si>
  <si>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</si>
  <si>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</si>
  <si>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</si>
  <si>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</si>
  <si>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</si>
  <si>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</si>
  <si>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</si>
  <si>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</si>
  <si>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</si>
  <si>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</si>
  <si>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</si>
  <si>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</si>
  <si>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</si>
  <si>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</si>
  <si>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</si>
  <si>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</si>
  <si>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</si>
  <si>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</si>
  <si>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</si>
  <si>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</si>
  <si>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</si>
  <si>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</si>
  <si>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</si>
  <si>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</si>
  <si>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</si>
  <si>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</si>
  <si>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</si>
  <si>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</si>
  <si>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</si>
  <si>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</si>
  <si>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</si>
  <si>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</si>
  <si>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</si>
  <si>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</si>
  <si>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</si>
  <si>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</si>
  <si>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</si>
  <si>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</si>
  <si>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</si>
  <si>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</si>
  <si>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</si>
  <si>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</si>
  <si>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</si>
  <si>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</si>
  <si>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</si>
  <si>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</si>
  <si>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</si>
  <si>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</si>
  <si>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</si>
  <si>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</si>
  <si>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</si>
  <si>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</si>
  <si>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</si>
  <si>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</si>
  <si>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</si>
  <si>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</si>
  <si>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</si>
  <si>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</si>
  <si>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</si>
  <si>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</si>
  <si>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</si>
  <si>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</si>
  <si>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</si>
  <si>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</si>
  <si>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</si>
  <si>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</si>
  <si>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</si>
  <si>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</si>
  <si>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</si>
  <si>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</si>
  <si>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</si>
  <si>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</si>
  <si>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</si>
  <si>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</si>
  <si>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</si>
  <si>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</si>
  <si>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</si>
  <si>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</si>
  <si>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</si>
  <si>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</si>
  <si>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</si>
  <si>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</si>
  <si>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</si>
  <si>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</si>
  <si>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</si>
  <si>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</si>
  <si>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</si>
  <si>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</si>
  <si>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</si>
  <si>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</si>
  <si>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</si>
  <si>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</si>
  <si>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</si>
  <si>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</si>
  <si>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</si>
  <si>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</si>
  <si>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</si>
  <si>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</si>
  <si>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</si>
  <si>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</si>
  <si>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</si>
  <si>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</si>
  <si>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</si>
  <si>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</si>
  <si>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</si>
  <si>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</si>
  <si>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</si>
  <si>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</si>
  <si>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</si>
  <si>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</si>
  <si>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</si>
  <si>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</si>
  <si>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</si>
  <si>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</si>
  <si>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</si>
  <si>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</si>
  <si>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</si>
  <si>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</si>
  <si>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</si>
  <si>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</si>
  <si>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</si>
  <si>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</si>
  <si>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</si>
  <si>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</si>
  <si>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</si>
  <si>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</si>
  <si>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</si>
  <si>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</si>
  <si>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</si>
  <si>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</si>
  <si>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</si>
  <si>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</si>
  <si>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</si>
  <si>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</si>
  <si>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</si>
  <si>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</si>
  <si>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</si>
  <si>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</si>
  <si>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</si>
  <si>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</si>
  <si>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</si>
  <si>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</si>
  <si>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</si>
  <si>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</si>
  <si>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</si>
  <si>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</si>
  <si>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</si>
  <si>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</si>
  <si>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</si>
  <si>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</si>
  <si>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</si>
  <si>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</si>
  <si>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</si>
  <si>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</si>
  <si>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</si>
  <si>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</si>
  <si>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</si>
  <si>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</si>
  <si>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</si>
  <si>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</si>
  <si>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</si>
  <si>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</si>
  <si>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</si>
  <si>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</si>
  <si>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</si>
  <si>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</si>
  <si>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</si>
  <si>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</si>
  <si>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</si>
  <si>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</si>
  <si>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</si>
  <si>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</si>
  <si>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</si>
  <si>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</si>
  <si>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</si>
  <si>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</si>
  <si>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</si>
  <si>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</si>
  <si>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</si>
  <si>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</si>
  <si>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</si>
  <si>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</si>
  <si>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</si>
  <si>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</si>
  <si>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</si>
  <si>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</si>
  <si>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</si>
  <si>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</si>
  <si>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</si>
  <si>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</si>
  <si>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</si>
  <si>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</si>
  <si>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</si>
  <si>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</si>
  <si>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</si>
  <si>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</si>
  <si>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</si>
  <si>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</si>
  <si>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</si>
  <si>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</si>
  <si>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</si>
  <si>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</si>
  <si>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</si>
  <si>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</si>
  <si>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</si>
  <si>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</si>
  <si>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</si>
  <si>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</si>
  <si>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</si>
  <si>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</si>
  <si>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</si>
  <si>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</si>
  <si>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</si>
  <si>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</si>
  <si>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</si>
  <si>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</si>
  <si>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</si>
  <si>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</si>
  <si>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</si>
  <si>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</si>
  <si>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</si>
  <si>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</si>
  <si>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</si>
  <si>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</si>
  <si>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</si>
  <si>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</si>
  <si>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</si>
  <si>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</si>
  <si>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</si>
  <si>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</si>
  <si>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</si>
  <si>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</si>
  <si>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</si>
  <si>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</si>
  <si>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</si>
  <si>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</si>
  <si>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</si>
  <si>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</si>
  <si>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</si>
  <si>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</si>
  <si>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</si>
  <si>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</si>
  <si>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</si>
  <si>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</si>
  <si>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</si>
  <si>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</si>
  <si>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</si>
  <si>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</si>
  <si>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</si>
  <si>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</si>
  <si>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</si>
  <si>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</si>
  <si>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</si>
  <si>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</si>
  <si>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</si>
  <si>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</si>
  <si>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</si>
  <si>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</si>
  <si>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</si>
  <si>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</si>
  <si>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</si>
  <si>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</si>
  <si>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</si>
  <si>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</si>
  <si>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</si>
  <si>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</si>
  <si>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</si>
  <si>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</si>
  <si>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</si>
  <si>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</si>
  <si>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</si>
  <si>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</si>
  <si>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</si>
  <si>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</si>
  <si>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</si>
  <si>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</si>
  <si>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</si>
  <si>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</si>
  <si>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</si>
  <si>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</si>
  <si>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</si>
  <si>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</si>
  <si>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</si>
  <si>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</si>
  <si>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</si>
  <si>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</si>
  <si>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</si>
  <si>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</si>
  <si>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</si>
  <si>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</si>
  <si>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</si>
  <si>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</si>
  <si>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</si>
  <si>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</si>
  <si>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</si>
  <si>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</si>
  <si>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</si>
  <si>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</si>
  <si>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</si>
  <si>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</si>
  <si>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</si>
  <si>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</si>
  <si>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</si>
  <si>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</si>
  <si>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</si>
  <si>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</si>
  <si>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</si>
  <si>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</si>
  <si>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</si>
  <si>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</si>
  <si>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</si>
  <si>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</si>
  <si>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</si>
  <si>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</si>
  <si>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</si>
  <si>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</si>
  <si>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</si>
  <si>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</si>
  <si>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</si>
  <si>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</si>
  <si>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</si>
  <si>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</si>
  <si>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</si>
  <si>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</si>
  <si>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</si>
  <si>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</si>
  <si>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</si>
  <si>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</si>
  <si>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</si>
  <si>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</si>
  <si>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</si>
  <si>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</si>
  <si>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</si>
  <si>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</si>
  <si>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</si>
  <si>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</si>
  <si>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</si>
  <si>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</si>
  <si>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</si>
  <si>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</si>
  <si>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</si>
  <si>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</si>
  <si>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</si>
  <si>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</si>
  <si>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</si>
  <si>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</si>
  <si>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</si>
  <si>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</si>
  <si>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</si>
  <si>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</si>
  <si>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</si>
  <si>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</si>
  <si>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</si>
  <si>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</si>
  <si>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</si>
  <si>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</si>
  <si>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</si>
  <si>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</si>
  <si>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</si>
  <si>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</si>
  <si>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</si>
  <si>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</si>
  <si>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</si>
  <si>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</si>
  <si>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</si>
  <si>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</si>
  <si>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</si>
  <si>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</si>
  <si>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</si>
  <si>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</si>
  <si>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</si>
  <si>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</si>
  <si>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</si>
  <si>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</si>
  <si>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</si>
  <si>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</si>
  <si>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</si>
  <si>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</si>
  <si>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</si>
  <si>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</si>
  <si>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</si>
  <si>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</si>
  <si>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</si>
  <si>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</si>
  <si>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</si>
  <si>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</si>
  <si>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</si>
  <si>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</si>
  <si>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</si>
  <si>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</si>
  <si>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</si>
  <si>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</si>
  <si>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</si>
  <si>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</si>
  <si>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</si>
  <si>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</si>
  <si>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</si>
  <si>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</si>
  <si>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</si>
  <si>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</si>
  <si>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</si>
  <si>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</si>
  <si>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</si>
  <si>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</si>
  <si>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</si>
  <si>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</si>
  <si>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</si>
  <si>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</si>
  <si>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</si>
  <si>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</si>
  <si>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</si>
  <si>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</si>
  <si>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</si>
  <si>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</si>
  <si>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</si>
  <si>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</si>
  <si>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</si>
  <si>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</si>
  <si>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</si>
  <si>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</si>
  <si>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</si>
  <si>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</si>
  <si>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</si>
  <si>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</si>
  <si>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</si>
  <si>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</si>
  <si>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</si>
  <si>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</si>
  <si>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</si>
  <si>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</si>
  <si>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</si>
  <si>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</si>
  <si>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</si>
  <si>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</si>
  <si>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</si>
  <si>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</si>
  <si>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</si>
  <si>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</si>
  <si>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</si>
  <si>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</si>
  <si>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</si>
  <si>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</si>
  <si>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</si>
  <si>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</si>
  <si>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</si>
  <si>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</si>
  <si>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</si>
  <si>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</si>
  <si>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</si>
  <si>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</si>
  <si>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</si>
  <si>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</si>
  <si>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</si>
  <si>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</si>
  <si>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</si>
  <si>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</si>
  <si>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</si>
  <si>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</si>
  <si>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</si>
  <si>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</si>
  <si>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</si>
  <si>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</si>
  <si>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</si>
  <si>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</si>
  <si>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</si>
  <si>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</si>
  <si>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</si>
  <si>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</si>
  <si>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</si>
  <si>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</si>
  <si>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</si>
  <si>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</si>
  <si>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</si>
  <si>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</si>
  <si>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</si>
  <si>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</si>
  <si>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</si>
  <si>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</si>
  <si>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</si>
  <si>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</si>
  <si>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</si>
  <si>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</si>
  <si>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</si>
  <si>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</si>
  <si>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</si>
  <si>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</si>
  <si>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</si>
  <si>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</si>
  <si>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</si>
  <si>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</si>
  <si>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</si>
  <si>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</si>
  <si>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</si>
  <si>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</si>
  <si>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</si>
  <si>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</si>
  <si>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</si>
  <si>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</si>
  <si>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</si>
  <si>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</si>
  <si>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</si>
  <si>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</si>
  <si>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</si>
  <si>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</si>
  <si>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</si>
  <si>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</si>
  <si>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</si>
  <si>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</si>
  <si>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</si>
  <si>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</si>
  <si>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</si>
  <si>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</si>
  <si>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</si>
  <si>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</si>
  <si>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</si>
  <si>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</si>
  <si>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</si>
  <si>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</si>
  <si>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</si>
  <si>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</si>
  <si>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</si>
  <si>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</si>
  <si>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</si>
  <si>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</si>
  <si>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</si>
  <si>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</si>
  <si>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</si>
  <si>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</si>
  <si>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</si>
  <si>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</si>
  <si>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</si>
  <si>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</si>
  <si>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</si>
  <si>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</si>
  <si>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</si>
  <si>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</si>
  <si>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</si>
  <si>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</si>
  <si>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</si>
  <si>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</si>
  <si>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</si>
  <si>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</si>
  <si>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</si>
  <si>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</si>
  <si>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</si>
  <si>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</si>
  <si>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</si>
  <si>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</si>
  <si>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</si>
  <si>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</si>
  <si>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</si>
  <si>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</si>
  <si>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</si>
  <si>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</si>
  <si>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</si>
  <si>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</si>
  <si>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</si>
  <si>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</si>
  <si>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</si>
  <si>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</si>
  <si>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</si>
  <si>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</si>
  <si>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</si>
  <si>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</si>
  <si>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</si>
  <si>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</si>
  <si>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</si>
  <si>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</si>
  <si>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</si>
  <si>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</si>
  <si>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</si>
  <si>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</si>
  <si>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</si>
  <si>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</si>
  <si>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</si>
  <si>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</si>
  <si>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</si>
  <si>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</si>
  <si>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</si>
  <si>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</si>
  <si>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</si>
  <si>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</si>
  <si>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</si>
  <si>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</si>
  <si>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</si>
  <si>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</si>
  <si>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</si>
  <si>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</si>
  <si>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</si>
  <si>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</si>
  <si>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</si>
  <si>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</si>
  <si>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</si>
  <si>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</si>
  <si>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</si>
  <si>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</si>
  <si>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</si>
  <si>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</si>
  <si>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</si>
  <si>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</si>
  <si>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</si>
  <si>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</si>
  <si>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</si>
  <si>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</si>
  <si>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</si>
  <si>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</si>
  <si>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</si>
  <si>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</si>
  <si>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</si>
  <si>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</si>
  <si>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</si>
  <si>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</si>
  <si>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</si>
  <si>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</si>
  <si>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</si>
  <si>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</si>
  <si>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</si>
  <si>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</si>
  <si>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</si>
  <si>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</si>
  <si>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</si>
  <si>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</si>
  <si>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</si>
  <si>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</si>
  <si>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</si>
  <si>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</si>
  <si>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</si>
  <si>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</si>
  <si>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</si>
  <si>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</si>
  <si>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</si>
  <si>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</si>
  <si>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</si>
  <si>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</si>
  <si>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</si>
  <si>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</si>
  <si>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</si>
  <si>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</si>
  <si>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</si>
  <si>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</si>
  <si>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</si>
  <si>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</si>
  <si>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</si>
  <si>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</si>
  <si>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</si>
  <si>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</si>
  <si>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</si>
  <si>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</si>
  <si>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</si>
  <si>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</si>
  <si>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</si>
  <si>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</si>
  <si>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</si>
  <si>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</si>
  <si>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</si>
  <si>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</si>
  <si>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</si>
  <si>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</si>
  <si>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</si>
  <si>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</si>
  <si>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</si>
  <si>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</si>
  <si>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</si>
  <si>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</si>
  <si>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</si>
  <si>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</si>
  <si>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</si>
  <si>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</si>
  <si>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</si>
  <si>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</si>
  <si>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</si>
  <si>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</si>
  <si>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</si>
  <si>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</si>
  <si>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</si>
  <si>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</si>
  <si>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</si>
  <si>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</si>
  <si>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</si>
  <si>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</si>
  <si>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</si>
  <si>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</si>
  <si>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</si>
  <si>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</si>
  <si>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</si>
  <si>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</si>
  <si>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</si>
  <si>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</si>
  <si>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</si>
  <si>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</si>
  <si>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</si>
  <si>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</si>
  <si>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</si>
  <si>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</si>
  <si>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</si>
  <si>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</si>
  <si>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</si>
  <si>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</si>
  <si>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</si>
  <si>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</si>
  <si>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</si>
  <si>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</si>
  <si>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</si>
  <si>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</si>
  <si>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</si>
  <si>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</si>
  <si>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</si>
  <si>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</si>
  <si>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</si>
  <si>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</si>
  <si>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</si>
  <si>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</si>
  <si>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</si>
  <si>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</si>
  <si>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</si>
  <si>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</si>
  <si>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</si>
  <si>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</si>
  <si>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</si>
  <si>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</si>
  <si>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</si>
  <si>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</si>
  <si>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</si>
  <si>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</si>
  <si>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</si>
  <si>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</si>
  <si>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</si>
  <si>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</si>
  <si>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</si>
  <si>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</si>
  <si>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</si>
  <si>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</si>
  <si>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</si>
  <si>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</si>
  <si>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</si>
  <si>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</si>
  <si>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</si>
  <si>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</si>
  <si>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</si>
  <si>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</si>
  <si>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</si>
  <si>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</si>
  <si>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</si>
  <si>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</si>
  <si>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</si>
  <si>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</si>
  <si>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</si>
  <si>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</si>
  <si>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</si>
  <si>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</si>
  <si>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</si>
  <si>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</si>
  <si>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</si>
  <si>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</si>
  <si>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</si>
  <si>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</si>
  <si>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</si>
  <si>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</si>
  <si>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</si>
  <si>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</si>
  <si>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</si>
  <si>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</si>
  <si>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</si>
  <si>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</si>
  <si>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</si>
  <si>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</si>
  <si>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</si>
  <si>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</si>
  <si>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</si>
  <si>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</si>
  <si>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</si>
  <si>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</si>
  <si>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</si>
  <si>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</si>
  <si>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</si>
  <si>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</si>
  <si>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</si>
  <si>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</si>
  <si>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</si>
  <si>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</si>
  <si>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</si>
  <si>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</si>
  <si>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</si>
  <si>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</si>
  <si>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</si>
  <si>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</si>
  <si>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</si>
  <si>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</si>
  <si>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</si>
  <si>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</si>
  <si>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</si>
  <si>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</si>
  <si>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</si>
  <si>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</si>
  <si>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</si>
  <si>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</si>
  <si>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</si>
  <si>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</si>
  <si>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</si>
  <si>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</si>
  <si>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</si>
  <si>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</si>
  <si>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</si>
  <si>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</si>
  <si>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</si>
  <si>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</si>
  <si>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</si>
  <si>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</si>
  <si>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</si>
  <si>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</si>
  <si>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</si>
  <si>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</si>
  <si>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</si>
  <si>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</si>
  <si>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</si>
  <si>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</si>
  <si>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</si>
  <si>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</si>
  <si>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</si>
  <si>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</si>
  <si>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</si>
  <si>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</si>
  <si>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</si>
  <si>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</si>
  <si>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</si>
  <si>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</si>
  <si>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</si>
  <si>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</si>
  <si>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</si>
  <si>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</si>
  <si>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</si>
  <si>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</si>
  <si>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</si>
  <si>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</si>
  <si>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</si>
  <si>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</si>
  <si>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</si>
  <si>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</si>
  <si>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</si>
  <si>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</si>
  <si>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</si>
  <si>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</si>
  <si>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</si>
  <si>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</si>
  <si>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</si>
  <si>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</si>
  <si>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</si>
  <si>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</si>
  <si>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</si>
  <si>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</si>
  <si>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</si>
  <si>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</si>
  <si>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</si>
  <si>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</si>
  <si>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</si>
  <si>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</si>
  <si>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</si>
  <si>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</si>
  <si>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</si>
  <si>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</si>
  <si>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</si>
  <si>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</si>
  <si>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</si>
  <si>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</si>
  <si>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</si>
  <si>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</si>
  <si>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</si>
  <si>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</si>
  <si>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</si>
  <si>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</si>
  <si>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</si>
  <si>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</si>
  <si>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</si>
  <si>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</si>
  <si>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</si>
  <si>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</si>
  <si>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</si>
  <si>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</si>
  <si>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</si>
  <si>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</si>
  <si>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</si>
  <si>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</si>
  <si>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</si>
  <si>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</si>
  <si>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</si>
  <si>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</si>
  <si>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</si>
  <si>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</si>
  <si>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</si>
  <si>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</si>
  <si>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</si>
  <si>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</si>
  <si>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</si>
  <si>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</si>
  <si>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</si>
  <si>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</si>
  <si>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</si>
  <si>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</si>
  <si>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</si>
  <si>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</si>
  <si>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</si>
  <si>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</si>
  <si>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</si>
  <si>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</si>
  <si>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</si>
  <si>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</si>
  <si>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</si>
  <si>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</si>
  <si>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</si>
  <si>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</si>
  <si>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</si>
  <si>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</si>
  <si>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</si>
  <si>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</si>
  <si>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</si>
  <si>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</si>
  <si>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</si>
  <si>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</si>
  <si>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</si>
  <si>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</si>
  <si>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</si>
  <si>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</si>
  <si>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</si>
  <si>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</si>
  <si>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</si>
  <si>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</si>
  <si>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</si>
  <si>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</si>
  <si>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</si>
  <si>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</si>
  <si>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</si>
  <si>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</si>
  <si>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</si>
  <si>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</si>
  <si>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</si>
  <si>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</si>
  <si>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</si>
  <si>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</si>
  <si>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</si>
  <si>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</si>
  <si>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</si>
  <si>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</si>
  <si>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</si>
  <si>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</si>
  <si>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</si>
  <si>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</si>
  <si>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</si>
  <si>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</si>
  <si>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</si>
  <si>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</si>
  <si>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</si>
  <si>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</si>
  <si>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</si>
  <si>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</si>
  <si>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</si>
  <si>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</si>
  <si>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</si>
  <si>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</si>
  <si>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</si>
  <si>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</si>
  <si>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</si>
  <si>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</si>
  <si>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</si>
  <si>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</si>
  <si>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</si>
  <si>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</si>
  <si>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</si>
  <si>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</si>
  <si>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</si>
  <si>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</si>
  <si>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</si>
  <si>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</si>
  <si>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</si>
  <si>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</si>
  <si>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</si>
  <si>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</si>
  <si>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</si>
  <si>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</si>
  <si>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</si>
  <si>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</si>
  <si>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</si>
  <si>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</si>
  <si>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</si>
  <si>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</si>
  <si>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</si>
  <si>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</si>
  <si>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</si>
  <si>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</si>
  <si>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</si>
  <si>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</si>
  <si>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</si>
  <si>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</si>
  <si>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</si>
  <si>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</si>
  <si>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</si>
  <si>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</si>
  <si>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</si>
  <si>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</si>
  <si>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</si>
  <si>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</si>
  <si>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</si>
  <si>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</si>
  <si>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</si>
  <si>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</si>
  <si>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</si>
  <si>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</si>
  <si>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</si>
  <si>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</si>
  <si>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</si>
  <si>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</si>
  <si>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</si>
  <si>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</si>
  <si>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</si>
  <si>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</si>
  <si>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</si>
  <si>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</si>
  <si>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</si>
  <si>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</si>
  <si>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</si>
  <si>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</si>
  <si>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</si>
  <si>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</si>
  <si>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</si>
  <si>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</si>
  <si>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</si>
  <si>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</si>
  <si>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</si>
  <si>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</si>
  <si>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</si>
  <si>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</si>
  <si>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</si>
  <si>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</si>
  <si>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</si>
  <si>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</si>
  <si>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</si>
  <si>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</si>
  <si>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</si>
  <si>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</si>
  <si>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</si>
  <si>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</si>
  <si>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</si>
  <si>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</si>
  <si>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</si>
  <si>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</si>
  <si>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</si>
  <si>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</si>
  <si>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</si>
  <si>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</si>
  <si>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</si>
  <si>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</si>
  <si>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</si>
  <si>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</si>
  <si>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</si>
  <si>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</si>
  <si>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</si>
  <si>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</si>
  <si>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</si>
  <si>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</si>
  <si>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</si>
  <si>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</si>
  <si>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</si>
  <si>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</si>
  <si>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</si>
  <si>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</si>
  <si>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</si>
  <si>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</si>
  <si>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</si>
  <si>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</si>
  <si>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</si>
  <si>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</si>
  <si>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</si>
  <si>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</si>
  <si>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</si>
  <si>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</si>
  <si>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</si>
  <si>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</si>
  <si>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</si>
  <si>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</si>
  <si>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</si>
  <si>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</si>
  <si>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</si>
  <si>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</si>
  <si>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</si>
  <si>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</si>
  <si>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</si>
  <si>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</si>
  <si>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</si>
  <si>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</si>
  <si>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</si>
  <si>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</si>
  <si>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</si>
  <si>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</si>
  <si>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</si>
  <si>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</si>
  <si>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</si>
  <si>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</si>
  <si>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</si>
  <si>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</si>
  <si>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</si>
  <si>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</si>
  <si>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</si>
  <si>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</si>
  <si>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</si>
  <si>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</si>
  <si>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</si>
  <si>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</si>
  <si>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</si>
  <si>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</si>
  <si>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</si>
  <si>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</si>
  <si>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</si>
  <si>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</si>
  <si>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</si>
  <si>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</si>
  <si>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</si>
  <si>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</si>
  <si>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</si>
  <si>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</si>
  <si>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</si>
  <si>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</si>
  <si>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</si>
  <si>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</si>
  <si>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</si>
  <si>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</si>
  <si>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</si>
  <si>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</si>
  <si>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</si>
  <si>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</si>
  <si>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</si>
  <si>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</si>
  <si>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</si>
  <si>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</si>
  <si>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</si>
  <si>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</si>
  <si>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</si>
  <si>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</si>
  <si>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</si>
  <si>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</si>
  <si>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</si>
  <si>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</si>
  <si>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</si>
  <si>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</si>
  <si>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</si>
  <si>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</si>
  <si>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</si>
  <si>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</si>
  <si>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</si>
  <si>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</si>
  <si>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</si>
  <si>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</si>
  <si>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</si>
  <si>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</si>
  <si>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</si>
  <si>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</si>
  <si>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</si>
  <si>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</si>
  <si>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</si>
  <si>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</si>
  <si>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</si>
  <si>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</si>
  <si>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</si>
  <si>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</si>
  <si>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</si>
  <si>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</si>
  <si>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</si>
  <si>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</si>
  <si>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</si>
  <si>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</si>
  <si>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</si>
  <si>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</si>
  <si>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</si>
  <si>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</si>
  <si>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</si>
  <si>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</si>
  <si>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</si>
  <si>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</si>
  <si>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</si>
  <si>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</si>
  <si>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</si>
  <si>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</si>
  <si>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</si>
  <si>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</si>
  <si>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</si>
  <si>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</si>
  <si>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</si>
  <si>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</si>
  <si>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</si>
  <si>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</si>
  <si>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</si>
  <si>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</si>
  <si>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</si>
  <si>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</si>
  <si>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</si>
  <si>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</si>
  <si>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</si>
  <si>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</si>
  <si>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</si>
  <si>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</si>
  <si>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</si>
  <si>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</si>
  <si>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</si>
  <si>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</si>
  <si>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</si>
  <si>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</si>
  <si>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</si>
  <si>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</si>
  <si>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</si>
  <si>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</si>
  <si>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</si>
  <si>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</si>
  <si>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</si>
  <si>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</si>
  <si>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</si>
  <si>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</si>
  <si>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</si>
  <si>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</si>
  <si>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</si>
  <si>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</si>
  <si>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</si>
  <si>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</si>
  <si>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</si>
  <si>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</si>
  <si>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</si>
  <si>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</si>
  <si>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</si>
  <si>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</si>
  <si>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</si>
  <si>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</si>
  <si>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</si>
  <si>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</si>
  <si>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</si>
  <si>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</si>
  <si>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</si>
  <si>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</si>
  <si>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</si>
  <si>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</si>
  <si>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</si>
  <si>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</si>
  <si>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</si>
  <si>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</si>
  <si>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</si>
  <si>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</si>
  <si>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</si>
  <si>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</si>
  <si>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</si>
  <si>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</si>
  <si>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</si>
  <si>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</si>
  <si>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</si>
  <si>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</si>
  <si>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</si>
  <si>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</si>
  <si>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</si>
  <si>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</si>
  <si>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</si>
  <si>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</si>
  <si>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</si>
  <si>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</si>
  <si>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</si>
  <si>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</si>
  <si>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</si>
  <si>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</si>
  <si>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</si>
  <si>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</si>
  <si>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</si>
  <si>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</si>
  <si>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</si>
  <si>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</si>
  <si>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</si>
  <si>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</si>
  <si>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</si>
  <si>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</si>
  <si>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</si>
  <si>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</si>
  <si>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</si>
  <si>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</si>
  <si>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</si>
  <si>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</si>
  <si>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</si>
  <si>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</si>
  <si>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</si>
  <si>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</si>
  <si>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</si>
  <si>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</si>
  <si>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</si>
  <si>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</si>
  <si>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</si>
  <si>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</si>
  <si>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</si>
  <si>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</si>
  <si>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</si>
  <si>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</si>
  <si>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</si>
  <si>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</si>
  <si>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</si>
  <si>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</si>
  <si>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</si>
  <si>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</si>
  <si>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</si>
  <si>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</si>
  <si>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</si>
  <si>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</si>
  <si>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</si>
  <si>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</si>
  <si>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</si>
  <si>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</si>
  <si>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</si>
  <si>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</si>
  <si>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</si>
  <si>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</si>
  <si>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</si>
  <si>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</si>
  <si>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</si>
  <si>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</si>
  <si>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</si>
  <si>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</si>
  <si>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</si>
  <si>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</si>
  <si>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</si>
  <si>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</si>
  <si>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</si>
  <si>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</si>
  <si>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</si>
  <si>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</si>
  <si>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</si>
  <si>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</si>
  <si>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</si>
  <si>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</si>
  <si>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</si>
  <si>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</si>
  <si>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</si>
  <si>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</si>
  <si>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</si>
  <si>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</si>
  <si>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</si>
  <si>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</si>
  <si>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</si>
  <si>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</si>
  <si>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</si>
  <si>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</si>
  <si>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</si>
  <si>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</si>
  <si>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</si>
  <si>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</si>
  <si>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</si>
  <si>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</si>
  <si>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</si>
  <si>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</si>
  <si>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</si>
  <si>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</si>
  <si>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</si>
  <si>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</si>
  <si>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</si>
  <si>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</si>
  <si>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</si>
  <si>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</si>
  <si>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</si>
  <si>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</si>
  <si>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</si>
  <si>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</si>
  <si>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</si>
  <si>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</si>
  <si>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</si>
  <si>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</si>
  <si>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</si>
  <si>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</si>
  <si>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</si>
  <si>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</si>
  <si>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</si>
  <si>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</si>
  <si>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</si>
  <si>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</si>
  <si>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</si>
  <si>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</si>
  <si>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</si>
  <si>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</si>
  <si>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</si>
  <si>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</si>
  <si>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</si>
  <si>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</si>
  <si>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</si>
  <si>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</si>
  <si>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</si>
  <si>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</si>
  <si>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</si>
  <si>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</si>
  <si>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</si>
  <si>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</si>
  <si>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</si>
  <si>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</si>
  <si>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</si>
  <si>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</si>
  <si>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</si>
  <si>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</si>
  <si>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</si>
  <si>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</si>
  <si>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</si>
  <si>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</si>
  <si>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</si>
  <si>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</si>
  <si>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</si>
  <si>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</si>
  <si>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</si>
  <si>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</si>
  <si>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</si>
  <si>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</si>
  <si>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</si>
  <si>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</si>
  <si>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</si>
  <si>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</si>
  <si>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</si>
  <si>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</si>
  <si>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</si>
  <si>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</si>
  <si>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</si>
  <si>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</si>
  <si>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</si>
  <si>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</si>
  <si>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</si>
  <si>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</si>
  <si>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</si>
  <si>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</si>
  <si>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</si>
  <si>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</si>
  <si>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</si>
  <si>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</si>
  <si>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</si>
  <si>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</si>
  <si>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</si>
  <si>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</si>
  <si>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</si>
  <si>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</si>
  <si>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</si>
  <si>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</si>
  <si>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</si>
  <si>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</si>
  <si>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</si>
  <si>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</si>
  <si>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</si>
  <si>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</si>
  <si>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</si>
  <si>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</si>
  <si>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</si>
  <si>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</si>
  <si>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</si>
  <si>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</si>
  <si>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</si>
  <si>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</si>
  <si>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</si>
  <si>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</si>
  <si>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</si>
  <si>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</si>
  <si>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</si>
  <si>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</si>
  <si>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</si>
  <si>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</si>
  <si>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</si>
  <si>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</si>
  <si>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</si>
  <si>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</si>
  <si>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</si>
  <si>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</si>
  <si>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</si>
  <si>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</si>
  <si>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</si>
  <si>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</si>
  <si>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</si>
  <si>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</si>
  <si>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</si>
  <si>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</si>
  <si>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</si>
  <si>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</si>
  <si>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</si>
  <si>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</si>
  <si>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</si>
  <si>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</si>
  <si>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</si>
  <si>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</si>
  <si>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</si>
  <si>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</si>
  <si>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</si>
  <si>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</si>
  <si>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</si>
  <si>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</si>
  <si>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</si>
  <si>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</si>
  <si>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</si>
  <si>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</si>
  <si>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</si>
  <si>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</si>
  <si>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</si>
  <si>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</si>
  <si>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</si>
  <si>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</si>
  <si>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</si>
  <si>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</si>
  <si>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</si>
  <si>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</si>
  <si>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</si>
  <si>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</si>
  <si>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</si>
  <si>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</si>
  <si>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</si>
  <si>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</si>
  <si>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</si>
  <si>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</si>
  <si>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</si>
  <si>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</si>
  <si>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</si>
  <si>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</si>
  <si>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</si>
  <si>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</si>
  <si>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</si>
  <si>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</si>
  <si>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</si>
  <si>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</si>
  <si>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</si>
  <si>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</si>
  <si>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</si>
  <si>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</si>
  <si>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</si>
  <si>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</si>
  <si>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</si>
  <si>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</si>
  <si>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</si>
  <si>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</si>
  <si>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</si>
  <si>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</si>
  <si>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</si>
  <si>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</si>
  <si>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</si>
  <si>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</si>
  <si>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</si>
  <si>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</si>
  <si>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</si>
  <si>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</si>
  <si>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</si>
  <si>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</si>
  <si>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</si>
  <si>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</si>
  <si>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</si>
  <si>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</si>
  <si>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</si>
  <si>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</si>
  <si>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</si>
  <si>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</si>
  <si>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</si>
  <si>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</si>
  <si>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</si>
  <si>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</si>
  <si>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</si>
  <si>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</si>
  <si>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</si>
  <si>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</si>
  <si>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</si>
  <si>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</si>
  <si>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</si>
  <si>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</si>
  <si>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</si>
  <si>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</si>
  <si>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</si>
  <si>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</si>
  <si>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</si>
  <si>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</si>
  <si>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</si>
  <si>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</si>
  <si>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</si>
  <si>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</si>
  <si>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</si>
  <si>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</si>
  <si>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</si>
  <si>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</si>
  <si>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</si>
  <si>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</si>
  <si>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</si>
  <si>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</si>
  <si>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</si>
  <si>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</si>
  <si>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</si>
  <si>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</si>
  <si>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</si>
  <si>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</si>
  <si>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</si>
  <si>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</si>
  <si>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</si>
  <si>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</si>
  <si>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</si>
  <si>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</si>
  <si>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</si>
  <si>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</si>
  <si>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</si>
  <si>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</si>
  <si>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</si>
  <si>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</si>
  <si>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</si>
  <si>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</si>
  <si>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</si>
  <si>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</si>
  <si>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</si>
  <si>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</si>
  <si>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</si>
  <si>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</si>
  <si>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</si>
  <si>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</si>
  <si>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</si>
  <si>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</si>
  <si>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</si>
  <si>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</si>
  <si>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</si>
  <si>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</si>
  <si>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</si>
  <si>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</si>
  <si>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</si>
  <si>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</si>
  <si>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</si>
  <si>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</si>
  <si>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</si>
  <si>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</si>
  <si>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</si>
  <si>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</si>
  <si>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</si>
  <si>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</si>
  <si>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</si>
  <si>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</si>
  <si>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</si>
  <si>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</si>
  <si>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</si>
  <si>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</si>
  <si>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</si>
  <si>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</si>
  <si>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</si>
  <si>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</si>
  <si>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</si>
  <si>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</si>
  <si>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</si>
  <si>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</si>
  <si>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</si>
  <si>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</si>
  <si>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</si>
  <si>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</si>
  <si>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</si>
  <si>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</si>
  <si>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</si>
  <si>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</si>
  <si>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</si>
  <si>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</si>
  <si>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</si>
  <si>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</si>
  <si>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</si>
  <si>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</si>
  <si>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</si>
  <si>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</si>
  <si>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</si>
  <si>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</si>
  <si>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</si>
  <si>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</si>
  <si>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</si>
  <si>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</si>
  <si>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</si>
  <si>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</si>
  <si>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</si>
  <si>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</si>
  <si>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</si>
  <si>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</si>
  <si>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</si>
  <si>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</si>
  <si>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</si>
  <si>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</si>
  <si>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</si>
  <si>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</si>
  <si>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</si>
  <si>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</si>
  <si>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</si>
  <si>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</si>
  <si>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</si>
  <si>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</si>
  <si>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</si>
  <si>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</si>
  <si>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</si>
  <si>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</si>
  <si>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</si>
  <si>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</si>
  <si>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</si>
  <si>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</si>
  <si>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</si>
  <si>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</si>
  <si>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</si>
  <si>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</si>
  <si>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</si>
  <si>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</si>
  <si>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</si>
  <si>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</si>
  <si>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</si>
  <si>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</si>
  <si>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</si>
  <si>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</si>
  <si>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</si>
  <si>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</si>
  <si>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</si>
  <si>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</si>
  <si>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</si>
  <si>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</si>
  <si>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</si>
  <si>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</si>
  <si>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</si>
  <si>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</si>
  <si>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</si>
  <si>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</si>
  <si>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</si>
  <si>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</si>
  <si>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</si>
  <si>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</si>
  <si>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</si>
  <si>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</si>
  <si>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</si>
  <si>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</si>
  <si>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</si>
  <si>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</si>
  <si>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</si>
  <si>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</si>
  <si>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</si>
  <si>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</si>
  <si>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</si>
  <si>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</si>
  <si>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</si>
  <si>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</si>
  <si>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</si>
  <si>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</si>
  <si>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</si>
  <si>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</si>
  <si>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</si>
  <si>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</si>
  <si>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</si>
  <si>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</si>
  <si>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</si>
  <si>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</si>
  <si>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</si>
  <si>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</si>
  <si>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</si>
  <si>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</si>
  <si>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</si>
  <si>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</si>
  <si>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</si>
  <si>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</si>
  <si>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</si>
  <si>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</si>
  <si>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</si>
  <si>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</si>
  <si>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</si>
  <si>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</si>
  <si>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</si>
  <si>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</si>
  <si>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</si>
  <si>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</si>
  <si>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</si>
  <si>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</si>
  <si>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</si>
  <si>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</si>
  <si>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</si>
  <si>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</si>
  <si>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</si>
  <si>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</si>
  <si>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</si>
  <si>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</si>
  <si>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</si>
  <si>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</si>
  <si>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</si>
  <si>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</si>
  <si>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</si>
  <si>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</si>
  <si>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</si>
  <si>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</si>
  <si>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</si>
  <si>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</si>
  <si>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</si>
  <si>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</si>
  <si>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</si>
  <si>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</si>
  <si>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</si>
  <si>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</si>
  <si>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</si>
  <si>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</si>
  <si>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</si>
  <si>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</si>
  <si>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</si>
  <si>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</si>
  <si>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</si>
  <si>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</si>
  <si>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</si>
  <si>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</si>
  <si>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</si>
  <si>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</si>
  <si>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</si>
  <si>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</si>
  <si>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</si>
  <si>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</si>
  <si>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</si>
  <si>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</si>
  <si>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</si>
  <si>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</si>
  <si>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</si>
  <si>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</si>
  <si>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</si>
  <si>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</si>
  <si>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</si>
  <si>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</si>
  <si>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</si>
  <si>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</si>
  <si>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</si>
  <si>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</si>
  <si>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</si>
  <si>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</si>
  <si>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</si>
  <si>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</si>
  <si>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</si>
  <si>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</si>
  <si>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</si>
  <si>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</si>
  <si>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</si>
  <si>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</si>
  <si>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</si>
  <si>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</si>
  <si>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</si>
  <si>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</si>
  <si>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</si>
  <si>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</si>
  <si>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</si>
  <si>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</si>
  <si>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</si>
  <si>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</si>
  <si>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</si>
  <si>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</si>
  <si>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</si>
  <si>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</si>
  <si>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</si>
  <si>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</si>
  <si>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</si>
  <si>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</si>
  <si>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</si>
  <si>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</si>
  <si>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</si>
  <si>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</si>
  <si>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</si>
  <si>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</si>
  <si>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</si>
  <si>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</si>
  <si>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</si>
  <si>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</si>
  <si>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</si>
  <si>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</si>
  <si>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</si>
  <si>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</si>
  <si>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</si>
  <si>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</si>
  <si>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</si>
  <si>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</si>
  <si>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</si>
  <si>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</si>
  <si>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</si>
  <si>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</si>
  <si>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</si>
  <si>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</si>
  <si>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</si>
  <si>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</si>
  <si>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</si>
  <si>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</si>
  <si>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</si>
  <si>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</si>
  <si>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</si>
  <si>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</si>
  <si>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</si>
  <si>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</si>
  <si>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</si>
  <si>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</si>
  <si>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</si>
  <si>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</si>
  <si>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</si>
  <si>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</si>
  <si>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</si>
  <si>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</si>
  <si>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</si>
  <si>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</si>
  <si>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</si>
  <si>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</si>
  <si>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</si>
  <si>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</si>
  <si>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</si>
  <si>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</si>
  <si>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</si>
  <si>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</si>
  <si>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</si>
  <si>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</si>
  <si>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</si>
  <si>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</si>
  <si>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</si>
  <si>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</si>
  <si>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</si>
  <si>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</si>
  <si>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</si>
  <si>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</si>
  <si>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</si>
  <si>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</si>
  <si>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</si>
  <si>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</si>
  <si>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</si>
  <si>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</si>
  <si>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</si>
  <si>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</si>
  <si>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</si>
  <si>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</si>
  <si>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</si>
  <si>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</si>
  <si>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</si>
  <si>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</si>
  <si>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</si>
  <si>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</si>
  <si>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</si>
  <si>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</si>
  <si>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</si>
  <si>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</si>
  <si>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</si>
  <si>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</si>
  <si>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</si>
  <si>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</si>
  <si>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</si>
  <si>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</si>
  <si>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</si>
  <si>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</si>
  <si>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</si>
  <si>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</si>
  <si>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</si>
  <si>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</si>
  <si>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</si>
  <si>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</si>
  <si>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</si>
  <si>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</si>
  <si>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</si>
  <si>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</si>
  <si>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</si>
  <si>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</si>
  <si>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</si>
  <si>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</si>
  <si>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</si>
  <si>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</si>
  <si>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</si>
  <si>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</si>
  <si>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</si>
  <si>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</si>
  <si>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</si>
  <si>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</si>
  <si>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</si>
  <si>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</si>
  <si>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</si>
  <si>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</si>
  <si>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</si>
  <si>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</si>
  <si>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</si>
  <si>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</si>
  <si>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</si>
  <si>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</si>
  <si>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</si>
  <si>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</si>
  <si>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</si>
  <si>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</si>
  <si>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</si>
  <si>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</si>
  <si>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</si>
  <si>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</si>
  <si>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</si>
  <si>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</si>
  <si>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</si>
  <si>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</si>
  <si>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</si>
  <si>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</si>
  <si>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</si>
  <si>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</si>
  <si>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</si>
  <si>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</si>
  <si>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</si>
  <si>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</si>
  <si>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</si>
  <si>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</si>
  <si>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</si>
  <si>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</si>
  <si>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</si>
  <si>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</si>
  <si>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</si>
  <si>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</si>
  <si>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</si>
  <si>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</si>
  <si>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</si>
  <si>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</si>
  <si>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</si>
  <si>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</si>
  <si>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</si>
  <si>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</si>
  <si>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</si>
  <si>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</si>
  <si>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</si>
  <si>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</si>
  <si>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</si>
  <si>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</si>
  <si>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</si>
  <si>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</si>
  <si>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</si>
  <si>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</si>
  <si>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</si>
  <si>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</si>
  <si>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</si>
  <si>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</si>
  <si>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</si>
  <si>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</si>
  <si>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</si>
  <si>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</si>
  <si>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</si>
  <si>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</si>
  <si>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</si>
  <si>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</si>
  <si>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</si>
  <si>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</si>
  <si>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</si>
  <si>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</si>
  <si>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</si>
  <si>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</si>
  <si>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</si>
  <si>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</si>
  <si>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</si>
  <si>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</si>
  <si>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</si>
  <si>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</si>
  <si>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</si>
  <si>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</si>
  <si>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</si>
  <si>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</si>
  <si>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</si>
  <si>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</si>
  <si>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</si>
  <si>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</si>
  <si>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</si>
  <si>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</si>
  <si>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</si>
  <si>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</si>
  <si>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</si>
  <si>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</si>
  <si>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</si>
  <si>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</si>
  <si>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</si>
  <si>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</si>
  <si>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</si>
  <si>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</si>
  <si>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</si>
  <si>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</si>
  <si>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</si>
  <si>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</si>
  <si>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</si>
  <si>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</si>
  <si>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</si>
  <si>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</si>
  <si>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</si>
  <si>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</si>
  <si>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</si>
  <si>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</si>
  <si>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</si>
  <si>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</si>
  <si>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</si>
  <si>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</si>
  <si>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</si>
  <si>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</si>
  <si>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</si>
  <si>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</si>
  <si>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</si>
  <si>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</si>
  <si>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</si>
  <si>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</si>
  <si>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</si>
  <si>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</si>
  <si>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</si>
  <si>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</si>
  <si>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</si>
  <si>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</si>
  <si>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</si>
  <si>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</si>
  <si>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</si>
  <si>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</si>
  <si>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</si>
  <si>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</si>
  <si>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</si>
  <si>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</si>
  <si>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</si>
  <si>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</si>
  <si>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</si>
  <si>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</si>
  <si>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</si>
  <si>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</si>
  <si>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</si>
  <si>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</si>
  <si>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</si>
  <si>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</si>
  <si>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</si>
  <si>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</si>
  <si>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</si>
  <si>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</si>
  <si>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</si>
  <si>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</si>
  <si>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</si>
  <si>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</si>
  <si>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</si>
  <si>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</si>
  <si>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</si>
  <si>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</si>
  <si>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</si>
  <si>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</si>
  <si>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</si>
  <si>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</si>
  <si>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</si>
  <si>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</si>
  <si>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</si>
  <si>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</si>
  <si>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</si>
  <si>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</si>
  <si>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</si>
  <si>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</si>
  <si>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</si>
  <si>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</si>
  <si>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</si>
  <si>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</si>
  <si>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</si>
  <si>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</si>
  <si>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</si>
  <si>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</si>
  <si>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</si>
  <si>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</si>
  <si>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</si>
  <si>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</si>
  <si>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</si>
  <si>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</si>
  <si>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</si>
  <si>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</si>
  <si>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</si>
  <si>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</si>
  <si>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</si>
  <si>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</si>
  <si>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</si>
  <si>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</si>
  <si>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</si>
  <si>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</si>
  <si>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</si>
  <si>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</si>
  <si>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</si>
  <si>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</si>
  <si>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</si>
  <si>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</si>
  <si>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</si>
  <si>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</si>
  <si>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</si>
  <si>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</si>
  <si>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</si>
  <si>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</si>
  <si>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</si>
  <si>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</si>
  <si>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</si>
  <si>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</si>
  <si>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</si>
  <si>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</si>
  <si>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</si>
  <si>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</si>
  <si>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</si>
  <si>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</si>
  <si>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</si>
  <si>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</si>
  <si>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</si>
  <si>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</si>
  <si>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</si>
  <si>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</si>
  <si>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</si>
  <si>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</si>
  <si>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</si>
  <si>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</si>
  <si>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</si>
  <si>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</si>
  <si>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</si>
  <si>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</si>
  <si>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</si>
  <si>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</si>
  <si>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</si>
  <si>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</si>
  <si>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</si>
  <si>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</si>
  <si>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</si>
  <si>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</si>
  <si>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</si>
  <si>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</si>
  <si>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</si>
  <si>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</si>
  <si>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</si>
  <si>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</si>
  <si>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</si>
  <si>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</si>
  <si>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</si>
  <si>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</si>
  <si>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</si>
  <si>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</si>
  <si>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</si>
  <si>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</si>
  <si>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</si>
  <si>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</si>
  <si>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</si>
  <si>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</si>
  <si>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</si>
  <si>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</si>
  <si>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</si>
  <si>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</si>
  <si>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</si>
  <si>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</si>
  <si>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</si>
  <si>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</si>
  <si>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</si>
  <si>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</si>
  <si>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</si>
  <si>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</si>
  <si>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</si>
  <si>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</si>
  <si>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</si>
  <si>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</si>
  <si>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</si>
  <si>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</si>
  <si>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</si>
  <si>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</si>
  <si>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</si>
  <si>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</si>
  <si>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</si>
  <si>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</si>
  <si>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</si>
  <si>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</si>
  <si>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</si>
  <si>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</si>
  <si>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</si>
  <si>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</si>
  <si>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</si>
  <si>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</si>
  <si>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</si>
  <si>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</si>
  <si>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</si>
  <si>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</si>
  <si>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</si>
  <si>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</si>
  <si>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</si>
  <si>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</si>
  <si>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</si>
  <si>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</si>
  <si>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</si>
  <si>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</si>
  <si>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</si>
  <si>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</si>
  <si>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</si>
  <si>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</si>
  <si>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</si>
  <si>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</si>
  <si>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</si>
  <si>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</si>
  <si>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</si>
  <si>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</si>
  <si>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</si>
  <si>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</si>
  <si>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</si>
  <si>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</si>
  <si>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</si>
  <si>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</si>
  <si>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</si>
  <si>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</si>
  <si>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</si>
  <si>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</si>
  <si>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</si>
  <si>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</si>
  <si>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</si>
  <si>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</si>
  <si>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</si>
  <si>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</si>
  <si>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</si>
  <si>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</si>
  <si>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</si>
  <si>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</si>
  <si>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</si>
  <si>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</si>
  <si>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</si>
  <si>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</si>
  <si>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</si>
  <si>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</si>
  <si>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</si>
  <si>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</si>
  <si>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</si>
  <si>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</si>
  <si>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</si>
  <si>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</si>
  <si>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</si>
  <si>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</si>
  <si>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</si>
  <si>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</si>
  <si>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</si>
  <si>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</si>
  <si>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</si>
  <si>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</si>
  <si>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</si>
  <si>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</si>
  <si>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</si>
  <si>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</si>
  <si>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</si>
  <si>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</si>
  <si>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</si>
  <si>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</si>
  <si>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</si>
  <si>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</si>
  <si>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</si>
  <si>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</si>
  <si>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</si>
  <si>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</si>
  <si>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</si>
  <si>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</si>
  <si>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</si>
  <si>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</si>
  <si>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</si>
  <si>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</si>
  <si>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</si>
  <si>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</si>
  <si>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</si>
  <si>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</si>
  <si>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</si>
  <si>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</si>
  <si>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</si>
  <si>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</si>
  <si>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</si>
  <si>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</si>
  <si>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</si>
  <si>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</si>
  <si>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</si>
  <si>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</si>
  <si>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</si>
  <si>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</si>
  <si>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</si>
  <si>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</si>
  <si>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</si>
  <si>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</si>
  <si>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</si>
  <si>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</si>
  <si>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</si>
  <si>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</si>
  <si>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</si>
  <si>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</si>
  <si>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</si>
  <si>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</si>
  <si>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</si>
  <si>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</si>
  <si>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</si>
  <si>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</si>
  <si>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</si>
  <si>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</si>
  <si>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</si>
  <si>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</si>
  <si>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</si>
  <si>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</si>
  <si>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</si>
  <si>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</si>
  <si>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</si>
  <si>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</si>
  <si>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</si>
  <si>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</si>
  <si>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</si>
  <si>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</si>
  <si>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</si>
  <si>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</si>
  <si>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</si>
  <si>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</si>
  <si>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</si>
  <si>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</si>
  <si>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</si>
  <si>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</si>
  <si>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</si>
  <si>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</si>
  <si>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</si>
  <si>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</si>
  <si>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</si>
  <si>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</si>
  <si>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</si>
  <si>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</si>
  <si>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</si>
  <si>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</si>
  <si>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</si>
  <si>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</si>
  <si>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</si>
  <si>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</si>
  <si>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</si>
  <si>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</si>
  <si>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</si>
  <si>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</si>
  <si>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</si>
  <si>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</si>
  <si>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</si>
  <si>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</si>
  <si>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</si>
  <si>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</si>
  <si>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</si>
  <si>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</si>
  <si>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</si>
  <si>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</si>
  <si>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</si>
  <si>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</si>
  <si>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</si>
  <si>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</si>
  <si>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</si>
  <si>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</si>
  <si>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</si>
  <si>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</si>
  <si>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</si>
  <si>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</si>
  <si>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</si>
  <si>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</si>
  <si>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</si>
  <si>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</si>
  <si>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</si>
  <si>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</si>
  <si>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</si>
  <si>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</si>
  <si>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</si>
  <si>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</si>
  <si>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</si>
  <si>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</si>
  <si>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</si>
  <si>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</si>
  <si>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</si>
  <si>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</si>
  <si>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</si>
  <si>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</si>
  <si>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 xml:space="preserve">Coffee Type name </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</si>
  <si>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</si>
  <si>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</si>
  <si>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</si>
  <si>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</si>
  <si>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</si>
  <si>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</si>
  <si>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</si>
  <si>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</si>
  <si>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</si>
  <si>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</si>
  <si>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</si>
  <si>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</si>
  <si>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</si>
  <si>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</si>
  <si>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</si>
  <si>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</si>
  <si>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</si>
  <si>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</si>
  <si>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</si>
  <si>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</si>
  <si>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2019 Total</t>
  </si>
  <si>
    <t>2020 Total</t>
  </si>
  <si>
    <t>2021 Total</t>
  </si>
  <si>
    <t>2022 Total</t>
  </si>
  <si>
    <t>Arabica</t>
  </si>
  <si>
    <t>Excelsa</t>
  </si>
  <si>
    <t>Liberica</t>
  </si>
  <si>
    <t>Robusta</t>
  </si>
  <si>
    <t>Dark</t>
  </si>
  <si>
    <t>Medium</t>
  </si>
  <si>
    <t>Sum of Sales</t>
  </si>
  <si>
    <t/>
  </si>
  <si>
    <t xml:space="preserve">Details for Sum of Sales - Months (Order Date): Apr, Years (Order Date): 2019, Coffee Type name : </t>
  </si>
  <si>
    <t>Light</t>
  </si>
  <si>
    <t>Details for Sum of Sales - Years (Order Date): 2019</t>
  </si>
  <si>
    <t>Details for Sum of Sales - Months (Order Date): Jul, Years (Order Date): 2019</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</si>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</sst>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0.0"/>
    <numFmt numFmtId="165" formatCode="dd\-mmm\-yyyy"/>
    <numFmt numFmtId="166" formatCode="0.0\ &quot;kg&quot;"/>
    <numFmt numFmtId="167" formatCode="&quot;$&quot;#,##0.00"/>
    <numFmt numFmtId="168" formatCode="[$$-409]#,##0"/>
  </numFmts>
  <fonts count="4" x14ac:knownFonts="1">
    <font>
      <sz val="11"/>
      <color theme="1"/>
      <name val="Calibri"/>
      <family val="2"/>
      <scheme val="minor"/>
    </font>
    <font>
      <sz val="11"/>
      <color indexed="8"/>
      <name val="Calibri"/>
      <family val="2"/>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5F1E8"/>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13">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44" fontId="0" fillId="0" borderId="0" xfId="1" applyFont="1"/>
    <xf numFmtId="0" fontId="0" fillId="0" borderId="0" xfId="0" pivotButton="1"/>
    <xf numFmtId="14" fontId="0" fillId="0" borderId="0" xfId="0" applyNumberFormat="1"/>
    <xf numFmtId="0" fontId="3" fillId="0" borderId="0" xfId="0" applyFont="1"/>
    <xf numFmtId="3" fontId="0" fillId="0" borderId="0" xfId="0" applyNumberFormat="1"/>
    <xf numFmtId="168" fontId="0" fillId="0" borderId="0" xfId="0" applyNumberFormat="1"/>
    <xf numFmtId="0" fontId="0" fillId="2" borderId="0" xfId="0" applyFill="1"/>
  </cellXfs>
  <cellStyles count="2">
    <cellStyle name="Currency" xfId="1" builtinId="4"/>
    <cellStyle name="Normal" xfId="0" builtinId="0"/>
  </cellStyles>
  <dxfs count="21">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i val="0"/>
        <color rgb="FFF5F1E8"/>
        <name val="Calibri"/>
        <family val="2"/>
        <scheme val="minor"/>
      </font>
    </dxf>
    <dxf>
      <font>
        <b val="0"/>
        <i val="0"/>
        <color rgb="FFF5E4D7"/>
        <name val="Calibri"/>
        <family val="2"/>
        <scheme val="minor"/>
      </font>
      <fill>
        <patternFill>
          <bgColor rgb="FF9E480E"/>
        </patternFill>
      </fill>
    </dxf>
    <dxf>
      <numFmt numFmtId="0" formatCode="General"/>
    </dxf>
    <dxf>
      <font>
        <b/>
        <i val="0"/>
        <sz val="12"/>
        <color rgb="FFF5F1E8"/>
        <name val="Calibri"/>
        <family val="2"/>
        <scheme val="minor"/>
      </font>
      <border>
        <left style="thin">
          <color auto="1"/>
        </left>
        <right style="thin">
          <color auto="1"/>
        </right>
        <top style="thin">
          <color auto="1"/>
        </top>
        <bottom style="thin">
          <color auto="1"/>
        </bottom>
      </border>
    </dxf>
    <dxf>
      <font>
        <b val="0"/>
        <i val="0"/>
        <sz val="12"/>
        <color rgb="FFF5F1E8"/>
        <name val="Calibri"/>
        <family val="2"/>
        <scheme val="minor"/>
      </font>
      <fill>
        <patternFill patternType="solid">
          <fgColor theme="0"/>
          <bgColor rgb="FF9E480E"/>
        </patternFill>
      </fill>
      <border diagonalUp="0" diagonalDown="0">
        <left style="thin">
          <color theme="2"/>
        </left>
        <right style="thin">
          <color theme="2"/>
        </right>
        <top style="thin">
          <color theme="2"/>
        </top>
        <bottom style="thin">
          <color theme="2"/>
        </bottom>
        <vertical/>
        <horizontal/>
      </border>
    </dxf>
    <dxf>
      <numFmt numFmtId="19" formatCode="m/d/yyyy"/>
    </dxf>
    <dxf>
      <numFmt numFmtId="167" formatCode="&quot;$&quot;#,##0.00"/>
    </dxf>
    <dxf>
      <numFmt numFmtId="166" formatCode="0.0\ &quot;kg&quot;"/>
    </dxf>
    <dxf>
      <numFmt numFmtId="0" formatCode="General"/>
    </dxf>
    <dxf>
      <numFmt numFmtId="0" formatCode="General"/>
    </dxf>
    <dxf>
      <numFmt numFmtId="19" formatCode="m/d/yyyy"/>
    </dxf>
    <dxf>
      <numFmt numFmtId="19" formatCode="m/d/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Brown Slicer" pivot="0" table="0" count="6" xr9:uid="{A5D6E3BA-C282-4C3B-96D3-AF06C8B15A32}">
      <tableStyleElement type="wholeTable" dxfId="2"/>
      <tableStyleElement type="headerRow" dxfId="1"/>
    </tableStyle>
    <tableStyle name="Brown Timeline Style" pivot="0" table="0" count="9" xr9:uid="{24CEC6F2-488E-4C36-AB1B-F44DB9457ED8}">
      <tableStyleElement type="wholeTable" dxfId="5"/>
      <tableStyleElement type="headerRow" dxfId="4"/>
    </tableStyle>
  </tableStyles>
  <colors>
    <mruColors>
      <color rgb="FF9900CC"/>
      <color rgb="FF660066"/>
      <color rgb="FFF5F1E8"/>
      <color rgb="FF6C320A"/>
      <color rgb="FF9E480E"/>
      <color rgb="FFB75411"/>
      <color rgb="FF96450E"/>
      <color rgb="FFE9C0A1"/>
      <color rgb="FFF5E4D7"/>
      <color rgb="FFDB9967"/>
    </mruColors>
  </colors>
  <extLst>
    <ext xmlns:x14="http://schemas.microsoft.com/office/spreadsheetml/2009/9/main" uri="{46F421CA-312F-682f-3DD2-61675219B42D}">
      <x14:dxfs count="4">
        <dxf>
          <font>
            <b/>
            <i val="0"/>
            <color rgb="FFF5F1E8"/>
            <name val="Calibri"/>
            <family val="2"/>
            <scheme val="minor"/>
          </font>
          <border>
            <left style="thin">
              <color auto="1"/>
            </left>
            <right style="thin">
              <color auto="1"/>
            </right>
            <top style="thin">
              <color auto="1"/>
            </top>
            <bottom style="thin">
              <color auto="1"/>
            </bottom>
          </border>
        </dxf>
        <dxf>
          <font>
            <b/>
            <i val="0"/>
            <color rgb="FFF5F1E8"/>
            <name val="Calibri"/>
            <family val="2"/>
            <scheme val="minor"/>
          </font>
          <border>
            <left style="thin">
              <color auto="1"/>
            </left>
            <right style="thin">
              <color auto="1"/>
            </right>
            <top style="thin">
              <color auto="1"/>
            </top>
            <bottom style="thin">
              <color auto="1"/>
            </bottom>
          </border>
        </dxf>
        <dxf>
          <font>
            <b val="0"/>
            <i val="0"/>
            <strike/>
            <color rgb="FFF5E4D7"/>
            <name val="Agency FB"/>
            <family val="2"/>
            <scheme val="none"/>
          </font>
          <border>
            <left style="thin">
              <color auto="1"/>
            </left>
            <right style="thin">
              <color auto="1"/>
            </right>
            <top style="thin">
              <color auto="1"/>
            </top>
            <bottom style="thin">
              <color auto="1"/>
            </bottom>
          </border>
        </dxf>
        <dxf>
          <font>
            <b val="0"/>
            <i val="0"/>
            <strike/>
            <color rgb="FFF5E4D7"/>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Brown Slicer">
        <x14:slicerStyle name="Brown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7" tint="0.79998168889431442"/>
            </patternFill>
          </fill>
        </dxf>
        <dxf>
          <fill>
            <patternFill patternType="solid">
              <fgColor theme="0"/>
              <bgColor rgb="FFDB9967"/>
            </patternFill>
          </fill>
          <border>
            <left style="thin">
              <color rgb="FFF5F1E8"/>
            </left>
            <right style="thin">
              <color rgb="FFF5F1E8"/>
            </right>
            <top style="thin">
              <color rgb="FFF5F1E8"/>
            </top>
            <bottom style="thin">
              <color rgb="FFF5F1E8"/>
            </bottom>
          </border>
        </dxf>
        <dxf>
          <font>
            <b/>
            <i val="0"/>
            <sz val="9"/>
            <color rgb="FFF5F1E8"/>
            <name val="Calibri"/>
            <family val="2"/>
            <scheme val="minor"/>
          </font>
        </dxf>
        <dxf>
          <font>
            <b/>
            <i val="0"/>
            <sz val="9"/>
            <color rgb="FFF5F1E8"/>
            <name val="Calibri"/>
            <family val="2"/>
            <scheme val="minor"/>
          </font>
        </dxf>
        <dxf>
          <font>
            <b/>
            <i val="0"/>
            <sz val="12"/>
            <color rgb="FFF5F1E8"/>
            <name val="Calibri"/>
            <family val="2"/>
            <scheme val="minor"/>
          </font>
        </dxf>
        <dxf>
          <font>
            <b/>
            <i val="0"/>
            <sz val="12"/>
            <color rgb="FFF5F1E8"/>
            <name val="Calibri"/>
            <family val="2"/>
            <scheme val="minor"/>
          </font>
        </dxf>
      </x15:dxfs>
    </ext>
    <ext xmlns:x15="http://schemas.microsoft.com/office/spreadsheetml/2010/11/main" uri="{9260A510-F301-46a8-8635-F512D64BE5F5}">
      <x15:timelineStyles defaultTimelineStyle="TimeSlicerStyleLight1">
        <x15:timelineStyle name="Brown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[Coffee_Sales_Analysis_Dashboard.xlsx]TotalSales!TotalSales</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rgbClr val="A56EAE"/>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4">
                <a:lumMod val="40000"/>
                <a:lumOff val="60000"/>
              </a:schemeClr>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6">
                <a:lumMod val="75000"/>
              </a:schemeClr>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4">
                <a:lumMod val="40000"/>
                <a:lumOff val="60000"/>
              </a:schemeClr>
            </a:solidFill>
            <a:round/>
          </a:ln>
          <a:effectLst/>
        </c:spPr>
        <c:marker>
          <c:symbol val="circle"/>
          <c:size val="5"/>
          <c:spPr>
            <a:solidFill>
              <a:schemeClr val="accent4"/>
            </a:solidFill>
            <a:ln w="9525">
              <a:solidFill>
                <a:schemeClr val="accent4"/>
              </a:solidFill>
            </a:ln>
            <a:effectLst/>
          </c:spPr>
        </c:marker>
      </c:pivotFmt>
      <c:pivotFmt>
        <c:idx val="5"/>
        <c:spPr>
          <a:solidFill>
            <a:schemeClr val="accent2"/>
          </a:solidFill>
          <a:ln w="28575" cap="rnd">
            <a:solidFill>
              <a:schemeClr val="accent4">
                <a:lumMod val="40000"/>
                <a:lumOff val="60000"/>
              </a:schemeClr>
            </a:solidFill>
            <a:round/>
          </a:ln>
          <a:effectLst/>
        </c:spPr>
        <c:marker>
          <c:symbol val="circle"/>
          <c:size val="5"/>
          <c:spPr>
            <a:solidFill>
              <a:schemeClr val="accent4"/>
            </a:solidFill>
            <a:ln w="9525">
              <a:solidFill>
                <a:schemeClr val="accent4"/>
              </a:solidFill>
            </a:ln>
            <a:effectLst/>
          </c:spPr>
        </c:marker>
      </c:pivotFmt>
      <c:pivotFmt>
        <c:idx val="6"/>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rgbClr val="A56EAE"/>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28575" cap="rnd">
            <a:solidFill>
              <a:schemeClr val="accent4">
                <a:lumMod val="40000"/>
                <a:lumOff val="60000"/>
              </a:schemeClr>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28575" cap="rnd">
            <a:solidFill>
              <a:schemeClr val="accent6">
                <a:lumMod val="75000"/>
              </a:schemeClr>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w="28575" cap="rnd">
            <a:solidFill>
              <a:schemeClr val="accent2"/>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7030A0"/>
            </a:solidFill>
            <a:round/>
          </a:ln>
          <a:effectLst/>
        </c:spPr>
        <c:marker>
          <c:symbol val="circle"/>
          <c:size val="5"/>
          <c:spPr>
            <a:solidFill>
              <a:srgbClr val="9900CC"/>
            </a:solidFill>
            <a:ln w="9525">
              <a:solidFill>
                <a:srgbClr val="7030A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4">
                <a:lumMod val="40000"/>
                <a:lumOff val="60000"/>
              </a:schemeClr>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6">
                <a:lumMod val="75000"/>
              </a:schemeClr>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rgbClr val="7030A0"/>
            </a:solidFill>
            <a:round/>
          </a:ln>
          <a:effectLst/>
        </c:spPr>
        <c:marker>
          <c:symbol val="circle"/>
          <c:size val="5"/>
          <c:spPr>
            <a:solidFill>
              <a:srgbClr val="9900CC"/>
            </a:solidFill>
            <a:ln w="9525">
              <a:solidFill>
                <a:srgbClr val="7030A0"/>
              </a:solidFill>
            </a:ln>
            <a:effectLst/>
          </c:spPr>
        </c:marker>
      </c:pivotFmt>
    </c:pivotFmts>
    <c:plotArea>
      <c:layout>
        <c:manualLayout>
          <c:layoutTarget val="inner"/>
          <c:xMode val="edge"/>
          <c:yMode val="edge"/>
          <c:x val="9.7443646034127765E-2"/>
          <c:y val="0.15341135588944596"/>
          <c:w val="0.77089168041243372"/>
          <c:h val="0.78025885258684691"/>
        </c:manualLayout>
      </c:layout>
      <c:lineChart>
        <c:grouping val="standard"/>
        <c:varyColors val="0"/>
        <c:ser>
          <c:idx val="0"/>
          <c:order val="0"/>
          <c:tx>
            <c:strRef>
              <c:f>TotalSales!$C$3:$C$4</c:f>
              <c:strCache>
                <c:ptCount val="1"/>
                <c:pt idx="0">
                  <c:v>Arabica</c:v>
                </c:pt>
              </c:strCache>
            </c:strRef>
          </c:tx>
          <c:spPr>
            <a:ln w="28575" cap="rnd">
              <a:solidFill>
                <a:srgbClr val="7030A0"/>
              </a:solidFill>
              <a:round/>
            </a:ln>
            <a:effectLst/>
          </c:spPr>
          <c:marker>
            <c:symbol val="circle"/>
            <c:size val="5"/>
            <c:spPr>
              <a:solidFill>
                <a:srgbClr val="9900CC"/>
              </a:solidFill>
              <a:ln w="9525">
                <a:solidFill>
                  <a:srgbClr val="7030A0"/>
                </a:solidFill>
              </a:ln>
              <a:effectLst/>
            </c:spPr>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TotalSales!$C$5:$C$53</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446B-491F-9D76-970163291DB6}"/>
            </c:ext>
          </c:extLst>
        </c:ser>
        <c:ser>
          <c:idx val="1"/>
          <c:order val="1"/>
          <c:tx>
            <c:strRef>
              <c:f>TotalSales!$D$3:$D$4</c:f>
              <c:strCache>
                <c:ptCount val="1"/>
                <c:pt idx="0">
                  <c:v>Excelsa</c:v>
                </c:pt>
              </c:strCache>
            </c:strRef>
          </c:tx>
          <c:spPr>
            <a:ln w="28575" cap="rnd">
              <a:solidFill>
                <a:schemeClr val="accent4">
                  <a:lumMod val="40000"/>
                  <a:lumOff val="60000"/>
                </a:schemeClr>
              </a:solidFill>
              <a:round/>
            </a:ln>
            <a:effectLst/>
          </c:spPr>
          <c:marker>
            <c:symbol val="circle"/>
            <c:size val="5"/>
            <c:spPr>
              <a:solidFill>
                <a:schemeClr val="accent4"/>
              </a:solidFill>
              <a:ln w="9525">
                <a:solidFill>
                  <a:schemeClr val="accent4"/>
                </a:solidFill>
              </a:ln>
              <a:effectLst/>
            </c:spPr>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TotalSales!$D$5:$D$53</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17-446B-491F-9D76-970163291DB6}"/>
            </c:ext>
          </c:extLst>
        </c:ser>
        <c:ser>
          <c:idx val="2"/>
          <c:order val="2"/>
          <c:tx>
            <c:strRef>
              <c:f>TotalSales!$E$3:$E$4</c:f>
              <c:strCache>
                <c:ptCount val="1"/>
                <c:pt idx="0">
                  <c:v>Liberica</c:v>
                </c:pt>
              </c:strCache>
            </c:strRef>
          </c:tx>
          <c:spPr>
            <a:ln w="28575" cap="rnd">
              <a:solidFill>
                <a:schemeClr val="accent6">
                  <a:lumMod val="75000"/>
                </a:schemeClr>
              </a:solidFill>
              <a:round/>
            </a:ln>
            <a:effectLst/>
          </c:spPr>
          <c:marker>
            <c:symbol val="circle"/>
            <c:size val="5"/>
            <c:spPr>
              <a:solidFill>
                <a:schemeClr val="accent6"/>
              </a:solidFill>
              <a:ln w="9525">
                <a:solidFill>
                  <a:schemeClr val="accent6"/>
                </a:solidFill>
              </a:ln>
              <a:effectLst/>
            </c:spPr>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TotalSales!$E$5:$E$53</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18-446B-491F-9D76-970163291DB6}"/>
            </c:ext>
          </c:extLst>
        </c:ser>
        <c:ser>
          <c:idx val="3"/>
          <c:order val="3"/>
          <c:tx>
            <c:strRef>
              <c:f>TotalSales!$F$3:$F$4</c:f>
              <c:strCache>
                <c:ptCount val="1"/>
                <c:pt idx="0">
                  <c:v>Robusta</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TotalSales!$F$5:$F$53</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19-446B-491F-9D76-970163291DB6}"/>
            </c:ext>
          </c:extLst>
        </c:ser>
        <c:dLbls>
          <c:showLegendKey val="0"/>
          <c:showVal val="0"/>
          <c:showCatName val="0"/>
          <c:showSerName val="0"/>
          <c:showPercent val="0"/>
          <c:showBubbleSize val="0"/>
        </c:dLbls>
        <c:marker val="1"/>
        <c:smooth val="0"/>
        <c:axId val="406048463"/>
        <c:axId val="406051823"/>
      </c:lineChart>
      <c:catAx>
        <c:axId val="40604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051823"/>
        <c:crosses val="autoZero"/>
        <c:auto val="1"/>
        <c:lblAlgn val="ctr"/>
        <c:lblOffset val="100"/>
        <c:noMultiLvlLbl val="0"/>
      </c:catAx>
      <c:valAx>
        <c:axId val="406051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048463"/>
        <c:crosses val="autoZero"/>
        <c:crossBetween val="between"/>
      </c:valAx>
      <c:spPr>
        <a:noFill/>
        <a:ln>
          <a:noFill/>
        </a:ln>
        <a:effectLst/>
      </c:spPr>
    </c:plotArea>
    <c:legend>
      <c:legendPos val="r"/>
      <c:overlay val="0"/>
      <c:spPr>
        <a:noFill/>
        <a:ln>
          <a:solidFill>
            <a:schemeClr val="bg2">
              <a:lumMod val="10000"/>
            </a:schemeClr>
          </a:solid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9C0A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[Coffee_Sales_Analysis_Dashboard.xlsx]CountryBar Chart!TotalSales</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C320A"/>
          </a:solidFill>
          <a:ln w="19050">
            <a:solidFill>
              <a:srgbClr val="F5F1E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6450E"/>
          </a:solidFill>
          <a:ln w="19050">
            <a:solidFill>
              <a:srgbClr val="F5F1E8"/>
            </a:solidFill>
          </a:ln>
          <a:effectLst/>
        </c:spPr>
      </c:pivotFmt>
      <c:pivotFmt>
        <c:idx val="2"/>
        <c:spPr>
          <a:solidFill>
            <a:srgbClr val="B75411"/>
          </a:solidFill>
          <a:ln w="19050">
            <a:solidFill>
              <a:srgbClr val="F5F1E8"/>
            </a:solidFill>
          </a:ln>
          <a:effectLst/>
        </c:spPr>
      </c:pivotFmt>
      <c:pivotFmt>
        <c:idx val="3"/>
        <c:spPr>
          <a:solidFill>
            <a:srgbClr val="6C320A"/>
          </a:solidFill>
          <a:ln w="19050">
            <a:solidFill>
              <a:srgbClr val="F5F1E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75411"/>
          </a:solidFill>
          <a:ln w="19050">
            <a:solidFill>
              <a:srgbClr val="F5F1E8"/>
            </a:solidFill>
          </a:ln>
          <a:effectLst/>
        </c:spPr>
      </c:pivotFmt>
      <c:pivotFmt>
        <c:idx val="5"/>
        <c:spPr>
          <a:solidFill>
            <a:srgbClr val="96450E"/>
          </a:solidFill>
          <a:ln w="19050">
            <a:solidFill>
              <a:srgbClr val="F5F1E8"/>
            </a:solidFill>
          </a:ln>
          <a:effectLst/>
        </c:spPr>
      </c:pivotFmt>
      <c:pivotFmt>
        <c:idx val="6"/>
        <c:spPr>
          <a:solidFill>
            <a:srgbClr val="6C320A"/>
          </a:solidFill>
          <a:ln w="19050">
            <a:solidFill>
              <a:srgbClr val="F5F1E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75411"/>
          </a:solidFill>
          <a:ln w="19050">
            <a:solidFill>
              <a:srgbClr val="F5F1E8"/>
            </a:solidFill>
          </a:ln>
          <a:effectLst/>
        </c:spPr>
      </c:pivotFmt>
      <c:pivotFmt>
        <c:idx val="8"/>
        <c:spPr>
          <a:solidFill>
            <a:srgbClr val="96450E"/>
          </a:solidFill>
          <a:ln w="19050">
            <a:solidFill>
              <a:srgbClr val="F5F1E8"/>
            </a:solidFill>
          </a:ln>
          <a:effectLst/>
        </c:spPr>
      </c:pivotFmt>
    </c:pivotFmts>
    <c:plotArea>
      <c:layout/>
      <c:barChart>
        <c:barDir val="bar"/>
        <c:grouping val="clustered"/>
        <c:varyColors val="0"/>
        <c:ser>
          <c:idx val="0"/>
          <c:order val="0"/>
          <c:tx>
            <c:strRef>
              <c:f>'CountryBar Chart'!$B$3</c:f>
              <c:strCache>
                <c:ptCount val="1"/>
                <c:pt idx="0">
                  <c:v>Total</c:v>
                </c:pt>
              </c:strCache>
            </c:strRef>
          </c:tx>
          <c:spPr>
            <a:solidFill>
              <a:srgbClr val="6C320A"/>
            </a:solidFill>
            <a:ln w="19050">
              <a:solidFill>
                <a:srgbClr val="F5F1E8"/>
              </a:solidFill>
            </a:ln>
            <a:effectLst/>
          </c:spPr>
          <c:invertIfNegative val="0"/>
          <c:dPt>
            <c:idx val="0"/>
            <c:invertIfNegative val="0"/>
            <c:bubble3D val="0"/>
            <c:spPr>
              <a:solidFill>
                <a:srgbClr val="B75411"/>
              </a:solidFill>
              <a:ln w="19050">
                <a:solidFill>
                  <a:srgbClr val="F5F1E8"/>
                </a:solidFill>
              </a:ln>
              <a:effectLst/>
            </c:spPr>
            <c:extLst>
              <c:ext xmlns:c16="http://schemas.microsoft.com/office/drawing/2014/chart" uri="{C3380CC4-5D6E-409C-BE32-E72D297353CC}">
                <c16:uniqueId val="{00000001-1977-4F13-BB09-0D97B2867CB3}"/>
              </c:ext>
            </c:extLst>
          </c:dPt>
          <c:dPt>
            <c:idx val="1"/>
            <c:invertIfNegative val="0"/>
            <c:bubble3D val="0"/>
            <c:spPr>
              <a:solidFill>
                <a:srgbClr val="96450E"/>
              </a:solidFill>
              <a:ln w="19050">
                <a:solidFill>
                  <a:srgbClr val="F5F1E8"/>
                </a:solidFill>
              </a:ln>
              <a:effectLst/>
            </c:spPr>
            <c:extLst>
              <c:ext xmlns:c16="http://schemas.microsoft.com/office/drawing/2014/chart" uri="{C3380CC4-5D6E-409C-BE32-E72D297353CC}">
                <c16:uniqueId val="{00000003-1977-4F13-BB09-0D97B2867C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 Chart'!$A$4:$A$7</c:f>
              <c:strCache>
                <c:ptCount val="3"/>
                <c:pt idx="0">
                  <c:v>United Kingdom</c:v>
                </c:pt>
                <c:pt idx="1">
                  <c:v>Ireland</c:v>
                </c:pt>
                <c:pt idx="2">
                  <c:v>United States</c:v>
                </c:pt>
              </c:strCache>
            </c:strRef>
          </c:cat>
          <c:val>
            <c:numRef>
              <c:f>'CountryBar Chart'!$B$4:$B$7</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1977-4F13-BB09-0D97B2867CB3}"/>
            </c:ext>
          </c:extLst>
        </c:ser>
        <c:dLbls>
          <c:dLblPos val="outEnd"/>
          <c:showLegendKey val="0"/>
          <c:showVal val="1"/>
          <c:showCatName val="0"/>
          <c:showSerName val="0"/>
          <c:showPercent val="0"/>
          <c:showBubbleSize val="0"/>
        </c:dLbls>
        <c:gapWidth val="182"/>
        <c:axId val="503267151"/>
        <c:axId val="503252751"/>
      </c:barChart>
      <c:catAx>
        <c:axId val="503267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252751"/>
        <c:crosses val="autoZero"/>
        <c:auto val="1"/>
        <c:lblAlgn val="ctr"/>
        <c:lblOffset val="100"/>
        <c:noMultiLvlLbl val="0"/>
      </c:catAx>
      <c:valAx>
        <c:axId val="503252751"/>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267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9C0A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[Coffee_Sales_Analysis_Dashboard.xlsx]Top5Customers!TotalSales</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layout>
        <c:manualLayout>
          <c:xMode val="edge"/>
          <c:yMode val="edge"/>
          <c:x val="0.3307583609259820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C320A"/>
          </a:solidFill>
          <a:ln w="19050">
            <a:solidFill>
              <a:srgbClr val="F5F1E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6450E"/>
          </a:solidFill>
          <a:ln w="19050">
            <a:solidFill>
              <a:srgbClr val="F5F1E8"/>
            </a:solidFill>
          </a:ln>
          <a:effectLst/>
        </c:spPr>
      </c:pivotFmt>
      <c:pivotFmt>
        <c:idx val="2"/>
        <c:spPr>
          <a:solidFill>
            <a:srgbClr val="B75411"/>
          </a:solidFill>
          <a:ln w="19050">
            <a:solidFill>
              <a:srgbClr val="F5F1E8"/>
            </a:solidFill>
          </a:ln>
          <a:effectLst/>
        </c:spPr>
      </c:pivotFmt>
      <c:pivotFmt>
        <c:idx val="3"/>
        <c:spPr>
          <a:solidFill>
            <a:srgbClr val="6C320A"/>
          </a:solidFill>
          <a:ln w="19050">
            <a:solidFill>
              <a:srgbClr val="F5F1E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75411"/>
          </a:solidFill>
          <a:ln w="19050">
            <a:solidFill>
              <a:srgbClr val="F5F1E8"/>
            </a:solidFill>
          </a:ln>
          <a:effectLst/>
        </c:spPr>
      </c:pivotFmt>
      <c:pivotFmt>
        <c:idx val="5"/>
        <c:spPr>
          <a:solidFill>
            <a:srgbClr val="96450E"/>
          </a:solidFill>
          <a:ln w="19050">
            <a:solidFill>
              <a:srgbClr val="F5F1E8"/>
            </a:solidFill>
          </a:ln>
          <a:effectLst/>
        </c:spPr>
      </c:pivotFmt>
      <c:pivotFmt>
        <c:idx val="6"/>
        <c:spPr>
          <a:solidFill>
            <a:srgbClr val="6C320A"/>
          </a:solidFill>
          <a:ln w="19050">
            <a:solidFill>
              <a:srgbClr val="F5F1E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C320A"/>
          </a:solidFill>
          <a:ln w="19050">
            <a:solidFill>
              <a:srgbClr val="F5F1E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6C320A"/>
            </a:solidFill>
            <a:ln w="19050">
              <a:solidFill>
                <a:srgbClr val="F5F1E8"/>
              </a:solidFill>
            </a:ln>
            <a:effectLst/>
          </c:spPr>
          <c:invertIfNegative val="0"/>
          <c:dPt>
            <c:idx val="0"/>
            <c:invertIfNegative val="0"/>
            <c:bubble3D val="0"/>
            <c:extLst>
              <c:ext xmlns:c16="http://schemas.microsoft.com/office/drawing/2014/chart" uri="{C3380CC4-5D6E-409C-BE32-E72D297353CC}">
                <c16:uniqueId val="{00000000-3B39-48EF-8DC1-69985A1B8130}"/>
              </c:ext>
            </c:extLst>
          </c:dPt>
          <c:dPt>
            <c:idx val="1"/>
            <c:invertIfNegative val="0"/>
            <c:bubble3D val="0"/>
            <c:extLst>
              <c:ext xmlns:c16="http://schemas.microsoft.com/office/drawing/2014/chart" uri="{C3380CC4-5D6E-409C-BE32-E72D297353CC}">
                <c16:uniqueId val="{00000001-3B39-48EF-8DC1-69985A1B81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3B39-48EF-8DC1-69985A1B8130}"/>
            </c:ext>
          </c:extLst>
        </c:ser>
        <c:dLbls>
          <c:dLblPos val="outEnd"/>
          <c:showLegendKey val="0"/>
          <c:showVal val="1"/>
          <c:showCatName val="0"/>
          <c:showSerName val="0"/>
          <c:showPercent val="0"/>
          <c:showBubbleSize val="0"/>
        </c:dLbls>
        <c:gapWidth val="182"/>
        <c:axId val="503267151"/>
        <c:axId val="503252751"/>
      </c:barChart>
      <c:catAx>
        <c:axId val="503267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252751"/>
        <c:crosses val="autoZero"/>
        <c:auto val="1"/>
        <c:lblAlgn val="ctr"/>
        <c:lblOffset val="100"/>
        <c:noMultiLvlLbl val="0"/>
      </c:catAx>
      <c:valAx>
        <c:axId val="503252751"/>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267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9C0A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[Coffee_Sales_Analysis_Dashboard.xlsx]TotalSales!TotalSales</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tx2"/>
            </a:solidFill>
            <a:round/>
          </a:ln>
          <a:effectLst/>
        </c:spPr>
        <c:marker>
          <c:symbol val="circle"/>
          <c:size val="5"/>
          <c:spPr>
            <a:solidFill>
              <a:srgbClr val="660066"/>
            </a:solidFill>
            <a:ln w="9525">
              <a:solidFill>
                <a:schemeClr val="tx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lumMod val="40000"/>
                <a:lumOff val="60000"/>
              </a:schemeClr>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lumMod val="40000"/>
                <a:lumOff val="60000"/>
              </a:schemeClr>
            </a:solidFill>
            <a:round/>
          </a:ln>
          <a:effectLst/>
        </c:spPr>
        <c:marker>
          <c:symbol val="circle"/>
          <c:size val="5"/>
          <c:spPr>
            <a:solidFill>
              <a:schemeClr val="accent4"/>
            </a:solidFill>
            <a:ln w="9525">
              <a:solidFill>
                <a:schemeClr val="accent4"/>
              </a:solidFill>
            </a:ln>
            <a:effectLst/>
          </c:spPr>
        </c:marker>
      </c:pivotFmt>
      <c:pivotFmt>
        <c:idx val="5"/>
        <c:spPr>
          <a:ln w="28575" cap="rnd">
            <a:solidFill>
              <a:schemeClr val="accent4">
                <a:lumMod val="40000"/>
                <a:lumOff val="60000"/>
              </a:schemeClr>
            </a:solidFill>
            <a:round/>
          </a:ln>
          <a:effectLst/>
        </c:spPr>
        <c:marker>
          <c:symbol val="circle"/>
          <c:size val="5"/>
          <c:spPr>
            <a:solidFill>
              <a:schemeClr val="accent4"/>
            </a:solidFill>
            <a:ln w="9525">
              <a:solidFill>
                <a:schemeClr val="accent4"/>
              </a:solidFill>
            </a:ln>
            <a:effectLst/>
          </c:spPr>
        </c:marker>
      </c:pivotFmt>
      <c:pivotFmt>
        <c:idx val="6"/>
        <c:spPr>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tx2"/>
            </a:solidFill>
            <a:round/>
          </a:ln>
          <a:effectLst/>
        </c:spPr>
        <c:marker>
          <c:symbol val="circle"/>
          <c:size val="5"/>
          <c:spPr>
            <a:solidFill>
              <a:srgbClr val="660066"/>
            </a:solidFill>
            <a:ln w="9525">
              <a:solidFill>
                <a:schemeClr val="tx2"/>
              </a:solidFill>
            </a:ln>
            <a:effectLst/>
          </c:spPr>
        </c:marker>
      </c:pivotFmt>
      <c:pivotFmt>
        <c:idx val="8"/>
        <c:spPr>
          <a:ln w="28575" cap="rnd">
            <a:solidFill>
              <a:schemeClr val="tx2"/>
            </a:solidFill>
            <a:round/>
          </a:ln>
          <a:effectLst/>
        </c:spPr>
        <c:marker>
          <c:symbol val="circle"/>
          <c:size val="5"/>
          <c:spPr>
            <a:solidFill>
              <a:srgbClr val="660066"/>
            </a:solidFill>
            <a:ln w="9525">
              <a:solidFill>
                <a:schemeClr val="tx2"/>
              </a:solidFill>
            </a:ln>
            <a:effectLst/>
          </c:spPr>
        </c:marker>
      </c:pivotFmt>
    </c:pivotFmts>
    <c:plotArea>
      <c:layout/>
      <c:lineChart>
        <c:grouping val="standard"/>
        <c:varyColors val="0"/>
        <c:ser>
          <c:idx val="0"/>
          <c:order val="0"/>
          <c:tx>
            <c:strRef>
              <c:f>TotalSales!$C$3:$C$4</c:f>
              <c:strCache>
                <c:ptCount val="1"/>
                <c:pt idx="0">
                  <c:v>Arabica</c:v>
                </c:pt>
              </c:strCache>
            </c:strRef>
          </c:tx>
          <c:spPr>
            <a:ln w="28575" cap="rnd">
              <a:solidFill>
                <a:schemeClr val="tx2"/>
              </a:solidFill>
              <a:round/>
            </a:ln>
            <a:effectLst/>
          </c:spPr>
          <c:marker>
            <c:symbol val="circle"/>
            <c:size val="5"/>
            <c:spPr>
              <a:solidFill>
                <a:srgbClr val="660066"/>
              </a:solidFill>
              <a:ln w="9525">
                <a:solidFill>
                  <a:schemeClr val="tx2"/>
                </a:solidFill>
              </a:ln>
              <a:effectLst/>
            </c:spPr>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TotalSales!$C$5:$C$53</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50FC-4C9C-A362-D516E2737978}"/>
            </c:ext>
          </c:extLst>
        </c:ser>
        <c:ser>
          <c:idx val="1"/>
          <c:order val="1"/>
          <c:tx>
            <c:strRef>
              <c:f>TotalSales!$D$3:$D$4</c:f>
              <c:strCache>
                <c:ptCount val="1"/>
                <c:pt idx="0">
                  <c:v>Excelsa</c:v>
                </c:pt>
              </c:strCache>
            </c:strRef>
          </c:tx>
          <c:spPr>
            <a:ln w="28575" cap="rnd">
              <a:solidFill>
                <a:schemeClr val="accent4">
                  <a:lumMod val="40000"/>
                  <a:lumOff val="60000"/>
                </a:schemeClr>
              </a:solidFill>
              <a:round/>
            </a:ln>
            <a:effectLst/>
          </c:spPr>
          <c:marker>
            <c:symbol val="circle"/>
            <c:size val="5"/>
            <c:spPr>
              <a:solidFill>
                <a:schemeClr val="accent4"/>
              </a:solidFill>
              <a:ln w="9525">
                <a:solidFill>
                  <a:schemeClr val="accent4"/>
                </a:solidFill>
              </a:ln>
              <a:effectLst/>
            </c:spPr>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TotalSales!$D$5:$D$53</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35-50FC-4C9C-A362-D516E2737978}"/>
            </c:ext>
          </c:extLst>
        </c:ser>
        <c:ser>
          <c:idx val="2"/>
          <c:order val="2"/>
          <c:tx>
            <c:strRef>
              <c:f>TotalSales!$E$3:$E$4</c:f>
              <c:strCache>
                <c:ptCount val="1"/>
                <c:pt idx="0">
                  <c:v>Liberica</c:v>
                </c:pt>
              </c:strCache>
            </c:strRef>
          </c:tx>
          <c:spPr>
            <a:ln w="28575" cap="rnd">
              <a:solidFill>
                <a:schemeClr val="accent6">
                  <a:lumMod val="75000"/>
                </a:schemeClr>
              </a:solidFill>
              <a:round/>
            </a:ln>
            <a:effectLst/>
          </c:spPr>
          <c:marker>
            <c:symbol val="circle"/>
            <c:size val="5"/>
            <c:spPr>
              <a:solidFill>
                <a:schemeClr val="accent6"/>
              </a:solidFill>
              <a:ln w="9525">
                <a:solidFill>
                  <a:schemeClr val="accent6"/>
                </a:solidFill>
              </a:ln>
              <a:effectLst/>
            </c:spPr>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TotalSales!$E$5:$E$53</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36-50FC-4C9C-A362-D516E2737978}"/>
            </c:ext>
          </c:extLst>
        </c:ser>
        <c:ser>
          <c:idx val="3"/>
          <c:order val="3"/>
          <c:tx>
            <c:strRef>
              <c:f>TotalSales!$F$3:$F$4</c:f>
              <c:strCache>
                <c:ptCount val="1"/>
                <c:pt idx="0">
                  <c:v>Robusta</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TotalSales!$F$5:$F$53</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37-50FC-4C9C-A362-D516E2737978}"/>
            </c:ext>
          </c:extLst>
        </c:ser>
        <c:dLbls>
          <c:showLegendKey val="0"/>
          <c:showVal val="0"/>
          <c:showCatName val="0"/>
          <c:showSerName val="0"/>
          <c:showPercent val="0"/>
          <c:showBubbleSize val="0"/>
        </c:dLbls>
        <c:marker val="1"/>
        <c:smooth val="0"/>
        <c:axId val="406048463"/>
        <c:axId val="406051823"/>
      </c:lineChart>
      <c:catAx>
        <c:axId val="40604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051823"/>
        <c:crosses val="autoZero"/>
        <c:auto val="1"/>
        <c:lblAlgn val="ctr"/>
        <c:lblOffset val="100"/>
        <c:noMultiLvlLbl val="0"/>
      </c:catAx>
      <c:valAx>
        <c:axId val="406051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048463"/>
        <c:crosses val="autoZero"/>
        <c:crossBetween val="between"/>
      </c:valAx>
      <c:spPr>
        <a:noFill/>
        <a:ln>
          <a:noFill/>
        </a:ln>
        <a:effectLst/>
      </c:spPr>
    </c:plotArea>
    <c:legend>
      <c:legendPos val="r"/>
      <c:overlay val="0"/>
      <c:spPr>
        <a:noFill/>
        <a:ln>
          <a:solidFill>
            <a:schemeClr val="bg2">
              <a:lumMod val="10000"/>
            </a:schemeClr>
          </a:solid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9C0A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[Coffee_Sales_Analysis_Dashboard.xlsx]CountryBar Chart!TotalSales</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C320A"/>
          </a:solidFill>
          <a:ln w="19050">
            <a:solidFill>
              <a:srgbClr val="F5F1E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6450E"/>
          </a:solidFill>
          <a:ln w="19050">
            <a:solidFill>
              <a:srgbClr val="F5F1E8"/>
            </a:solidFill>
          </a:ln>
          <a:effectLst/>
        </c:spPr>
      </c:pivotFmt>
      <c:pivotFmt>
        <c:idx val="2"/>
        <c:spPr>
          <a:solidFill>
            <a:srgbClr val="B75411"/>
          </a:solidFill>
          <a:ln w="19050">
            <a:solidFill>
              <a:srgbClr val="F5F1E8"/>
            </a:solidFill>
          </a:ln>
          <a:effectLst/>
        </c:spPr>
      </c:pivotFmt>
    </c:pivotFmts>
    <c:plotArea>
      <c:layout/>
      <c:barChart>
        <c:barDir val="bar"/>
        <c:grouping val="clustered"/>
        <c:varyColors val="0"/>
        <c:ser>
          <c:idx val="0"/>
          <c:order val="0"/>
          <c:tx>
            <c:strRef>
              <c:f>'CountryBar Chart'!$B$3</c:f>
              <c:strCache>
                <c:ptCount val="1"/>
                <c:pt idx="0">
                  <c:v>Total</c:v>
                </c:pt>
              </c:strCache>
            </c:strRef>
          </c:tx>
          <c:spPr>
            <a:solidFill>
              <a:srgbClr val="6C320A"/>
            </a:solidFill>
            <a:ln w="19050">
              <a:solidFill>
                <a:srgbClr val="F5F1E8"/>
              </a:solidFill>
            </a:ln>
            <a:effectLst/>
          </c:spPr>
          <c:invertIfNegative val="0"/>
          <c:dPt>
            <c:idx val="0"/>
            <c:invertIfNegative val="0"/>
            <c:bubble3D val="0"/>
            <c:spPr>
              <a:solidFill>
                <a:srgbClr val="B75411"/>
              </a:solidFill>
              <a:ln w="19050">
                <a:solidFill>
                  <a:srgbClr val="F5F1E8"/>
                </a:solidFill>
              </a:ln>
              <a:effectLst/>
            </c:spPr>
            <c:extLst>
              <c:ext xmlns:c16="http://schemas.microsoft.com/office/drawing/2014/chart" uri="{C3380CC4-5D6E-409C-BE32-E72D297353CC}">
                <c16:uniqueId val="{00000003-4332-4548-8B72-3E83415C2DBF}"/>
              </c:ext>
            </c:extLst>
          </c:dPt>
          <c:dPt>
            <c:idx val="1"/>
            <c:invertIfNegative val="0"/>
            <c:bubble3D val="0"/>
            <c:spPr>
              <a:solidFill>
                <a:srgbClr val="96450E"/>
              </a:solidFill>
              <a:ln w="19050">
                <a:solidFill>
                  <a:srgbClr val="F5F1E8"/>
                </a:solidFill>
              </a:ln>
              <a:effectLst/>
            </c:spPr>
            <c:extLst>
              <c:ext xmlns:c16="http://schemas.microsoft.com/office/drawing/2014/chart" uri="{C3380CC4-5D6E-409C-BE32-E72D297353CC}">
                <c16:uniqueId val="{00000002-4332-4548-8B72-3E83415C2D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 Chart'!$A$4:$A$7</c:f>
              <c:strCache>
                <c:ptCount val="3"/>
                <c:pt idx="0">
                  <c:v>United Kingdom</c:v>
                </c:pt>
                <c:pt idx="1">
                  <c:v>Ireland</c:v>
                </c:pt>
                <c:pt idx="2">
                  <c:v>United States</c:v>
                </c:pt>
              </c:strCache>
            </c:strRef>
          </c:cat>
          <c:val>
            <c:numRef>
              <c:f>'CountryBar Chart'!$B$4:$B$7</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4332-4548-8B72-3E83415C2DBF}"/>
            </c:ext>
          </c:extLst>
        </c:ser>
        <c:dLbls>
          <c:dLblPos val="outEnd"/>
          <c:showLegendKey val="0"/>
          <c:showVal val="1"/>
          <c:showCatName val="0"/>
          <c:showSerName val="0"/>
          <c:showPercent val="0"/>
          <c:showBubbleSize val="0"/>
        </c:dLbls>
        <c:gapWidth val="182"/>
        <c:axId val="503267151"/>
        <c:axId val="503252751"/>
      </c:barChart>
      <c:catAx>
        <c:axId val="503267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252751"/>
        <c:crosses val="autoZero"/>
        <c:auto val="1"/>
        <c:lblAlgn val="ctr"/>
        <c:lblOffset val="100"/>
        <c:noMultiLvlLbl val="0"/>
      </c:catAx>
      <c:valAx>
        <c:axId val="503252751"/>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267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9C0A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[Coffee_Sales_Analysis_Dashboard.xlsx]Top5Customers!TotalSales</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C320A"/>
          </a:solidFill>
          <a:ln w="19050">
            <a:solidFill>
              <a:srgbClr val="F5F1E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6450E"/>
          </a:solidFill>
          <a:ln w="19050">
            <a:solidFill>
              <a:srgbClr val="F5F1E8"/>
            </a:solidFill>
          </a:ln>
          <a:effectLst/>
        </c:spPr>
      </c:pivotFmt>
      <c:pivotFmt>
        <c:idx val="2"/>
        <c:spPr>
          <a:solidFill>
            <a:srgbClr val="B75411"/>
          </a:solidFill>
          <a:ln w="19050">
            <a:solidFill>
              <a:srgbClr val="F5F1E8"/>
            </a:solidFill>
          </a:ln>
          <a:effectLst/>
        </c:spPr>
      </c:pivotFmt>
      <c:pivotFmt>
        <c:idx val="3"/>
        <c:spPr>
          <a:solidFill>
            <a:srgbClr val="6C320A"/>
          </a:solidFill>
          <a:ln w="19050">
            <a:solidFill>
              <a:srgbClr val="F5F1E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75411"/>
          </a:solidFill>
          <a:ln w="19050">
            <a:solidFill>
              <a:srgbClr val="F5F1E8"/>
            </a:solidFill>
          </a:ln>
          <a:effectLst/>
        </c:spPr>
      </c:pivotFmt>
      <c:pivotFmt>
        <c:idx val="5"/>
        <c:spPr>
          <a:solidFill>
            <a:srgbClr val="96450E"/>
          </a:solidFill>
          <a:ln w="19050">
            <a:solidFill>
              <a:srgbClr val="F5F1E8"/>
            </a:solidFill>
          </a:ln>
          <a:effectLst/>
        </c:spPr>
      </c:pivotFmt>
    </c:pivotFmts>
    <c:plotArea>
      <c:layout/>
      <c:barChart>
        <c:barDir val="bar"/>
        <c:grouping val="clustered"/>
        <c:varyColors val="0"/>
        <c:ser>
          <c:idx val="0"/>
          <c:order val="0"/>
          <c:tx>
            <c:strRef>
              <c:f>Top5Customers!$B$3</c:f>
              <c:strCache>
                <c:ptCount val="1"/>
                <c:pt idx="0">
                  <c:v>Total</c:v>
                </c:pt>
              </c:strCache>
            </c:strRef>
          </c:tx>
          <c:spPr>
            <a:solidFill>
              <a:srgbClr val="6C320A"/>
            </a:solidFill>
            <a:ln w="19050">
              <a:solidFill>
                <a:srgbClr val="F5F1E8"/>
              </a:solidFill>
            </a:ln>
            <a:effectLst/>
          </c:spPr>
          <c:invertIfNegative val="0"/>
          <c:dPt>
            <c:idx val="0"/>
            <c:invertIfNegative val="0"/>
            <c:bubble3D val="0"/>
            <c:extLst>
              <c:ext xmlns:c16="http://schemas.microsoft.com/office/drawing/2014/chart" uri="{C3380CC4-5D6E-409C-BE32-E72D297353CC}">
                <c16:uniqueId val="{00000001-7EB7-468C-8A31-08743DFAADF5}"/>
              </c:ext>
            </c:extLst>
          </c:dPt>
          <c:dPt>
            <c:idx val="1"/>
            <c:invertIfNegative val="0"/>
            <c:bubble3D val="0"/>
            <c:extLst>
              <c:ext xmlns:c16="http://schemas.microsoft.com/office/drawing/2014/chart" uri="{C3380CC4-5D6E-409C-BE32-E72D297353CC}">
                <c16:uniqueId val="{00000003-7EB7-468C-8A31-08743DFAAD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4-7EB7-468C-8A31-08743DFAADF5}"/>
            </c:ext>
          </c:extLst>
        </c:ser>
        <c:dLbls>
          <c:dLblPos val="outEnd"/>
          <c:showLegendKey val="0"/>
          <c:showVal val="1"/>
          <c:showCatName val="0"/>
          <c:showSerName val="0"/>
          <c:showPercent val="0"/>
          <c:showBubbleSize val="0"/>
        </c:dLbls>
        <c:gapWidth val="182"/>
        <c:axId val="503267151"/>
        <c:axId val="503252751"/>
      </c:barChart>
      <c:catAx>
        <c:axId val="503267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252751"/>
        <c:crosses val="autoZero"/>
        <c:auto val="1"/>
        <c:lblAlgn val="ctr"/>
        <c:lblOffset val="100"/>
        <c:noMultiLvlLbl val="0"/>
      </c:catAx>
      <c:valAx>
        <c:axId val="503252751"/>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267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9C0A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1</xdr:rowOff>
    </xdr:from>
    <xdr:to>
      <xdr:col>26</xdr:col>
      <xdr:colOff>0</xdr:colOff>
      <xdr:row>4</xdr:row>
      <xdr:rowOff>180975</xdr:rowOff>
    </xdr:to>
    <xdr:sp macro="" textlink="">
      <xdr:nvSpPr>
        <xdr:cNvPr id="3" name="Rectangle 2">
          <a:extLst>
            <a:ext uri="{FF2B5EF4-FFF2-40B4-BE49-F238E27FC236}">
              <a16:creationId xmlns:a16="http://schemas.microsoft.com/office/drawing/2014/main" id="{929A75FA-FC90-D76B-939D-4A14B554F3A4}"/>
            </a:ext>
          </a:extLst>
        </xdr:cNvPr>
        <xdr:cNvSpPr/>
      </xdr:nvSpPr>
      <xdr:spPr>
        <a:xfrm>
          <a:off x="116159" y="58080"/>
          <a:ext cx="15100609" cy="738535"/>
        </a:xfrm>
        <a:prstGeom prst="rect">
          <a:avLst/>
        </a:prstGeom>
        <a:solidFill>
          <a:srgbClr val="9E480E"/>
        </a:solidFill>
        <a:ln>
          <a:solidFill>
            <a:srgbClr val="6C320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t>COFFE</a:t>
          </a:r>
          <a:r>
            <a:rPr lang="en-US" sz="3200" baseline="0"/>
            <a:t>E SALES DASHBOARD</a:t>
          </a:r>
          <a:endParaRPr lang="en-US" sz="3200"/>
        </a:p>
      </xdr:txBody>
    </xdr:sp>
    <xdr:clientData/>
  </xdr:twoCellAnchor>
  <xdr:twoCellAnchor editAs="oneCell">
    <xdr:from>
      <xdr:col>1</xdr:col>
      <xdr:colOff>-1</xdr:colOff>
      <xdr:row>5</xdr:row>
      <xdr:rowOff>101023</xdr:rowOff>
    </xdr:from>
    <xdr:to>
      <xdr:col>16</xdr:col>
      <xdr:colOff>34847</xdr:colOff>
      <xdr:row>15</xdr:row>
      <xdr:rowOff>46464</xdr:rowOff>
    </xdr:to>
    <mc:AlternateContent xmlns:mc="http://schemas.openxmlformats.org/markup-compatibility/2006">
      <mc:Choice xmlns:tsle="http://schemas.microsoft.com/office/drawing/2012/timeslicer" Requires="tsle">
        <xdr:graphicFrame macro="">
          <xdr:nvGraphicFramePr>
            <xdr:cNvPr id="4" name="Order Date 1">
              <a:extLst>
                <a:ext uri="{FF2B5EF4-FFF2-40B4-BE49-F238E27FC236}">
                  <a16:creationId xmlns:a16="http://schemas.microsoft.com/office/drawing/2014/main" id="{9602CAFC-EE09-482C-9D7B-2D54A7C7B25E}"/>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15454" y="909205"/>
              <a:ext cx="9126893" cy="182157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139391</xdr:colOff>
      <xdr:row>5</xdr:row>
      <xdr:rowOff>125703</xdr:rowOff>
    </xdr:from>
    <xdr:to>
      <xdr:col>26</xdr:col>
      <xdr:colOff>0</xdr:colOff>
      <xdr:row>9</xdr:row>
      <xdr:rowOff>139390</xdr:rowOff>
    </xdr:to>
    <mc:AlternateContent xmlns:mc="http://schemas.openxmlformats.org/markup-compatibility/2006">
      <mc:Choice xmlns:a14="http://schemas.microsoft.com/office/drawing/2010/main" Requires="a14">
        <xdr:graphicFrame macro="">
          <xdr:nvGraphicFramePr>
            <xdr:cNvPr id="5" name="Roast type Name 1">
              <a:extLst>
                <a:ext uri="{FF2B5EF4-FFF2-40B4-BE49-F238E27FC236}">
                  <a16:creationId xmlns:a16="http://schemas.microsoft.com/office/drawing/2014/main" id="{092C45C8-5C3D-42CB-B30B-996C2FF8DCD2}"/>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9346891" y="933885"/>
              <a:ext cx="5921973" cy="7641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139391</xdr:colOff>
      <xdr:row>10</xdr:row>
      <xdr:rowOff>23233</xdr:rowOff>
    </xdr:from>
    <xdr:to>
      <xdr:col>21</xdr:col>
      <xdr:colOff>127774</xdr:colOff>
      <xdr:row>15</xdr:row>
      <xdr:rowOff>37702</xdr:rowOff>
    </xdr:to>
    <mc:AlternateContent xmlns:mc="http://schemas.openxmlformats.org/markup-compatibility/2006">
      <mc:Choice xmlns:a14="http://schemas.microsoft.com/office/drawing/2010/main" Requires="a14">
        <xdr:graphicFrame macro="">
          <xdr:nvGraphicFramePr>
            <xdr:cNvPr id="6" name="Loyalty Card 1">
              <a:extLst>
                <a:ext uri="{FF2B5EF4-FFF2-40B4-BE49-F238E27FC236}">
                  <a16:creationId xmlns:a16="http://schemas.microsoft.com/office/drawing/2014/main" id="{C9639750-B4EE-49E1-9179-B9631731A324}"/>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9346891" y="1769483"/>
              <a:ext cx="3019065" cy="9525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11615</xdr:colOff>
      <xdr:row>15</xdr:row>
      <xdr:rowOff>126066</xdr:rowOff>
    </xdr:from>
    <xdr:to>
      <xdr:col>16</xdr:col>
      <xdr:colOff>308161</xdr:colOff>
      <xdr:row>40</xdr:row>
      <xdr:rowOff>1</xdr:rowOff>
    </xdr:to>
    <xdr:graphicFrame macro="">
      <xdr:nvGraphicFramePr>
        <xdr:cNvPr id="7" name="Chart 6">
          <a:extLst>
            <a:ext uri="{FF2B5EF4-FFF2-40B4-BE49-F238E27FC236}">
              <a16:creationId xmlns:a16="http://schemas.microsoft.com/office/drawing/2014/main" id="{1D8BB518-42F1-4C60-9A29-BF015A917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197470</xdr:colOff>
      <xdr:row>10</xdr:row>
      <xdr:rowOff>34846</xdr:rowOff>
    </xdr:from>
    <xdr:to>
      <xdr:col>26</xdr:col>
      <xdr:colOff>11615</xdr:colOff>
      <xdr:row>15</xdr:row>
      <xdr:rowOff>57192</xdr:rowOff>
    </xdr:to>
    <mc:AlternateContent xmlns:mc="http://schemas.openxmlformats.org/markup-compatibility/2006">
      <mc:Choice xmlns:a14="http://schemas.microsoft.com/office/drawing/2010/main" Requires="a14">
        <xdr:graphicFrame macro="">
          <xdr:nvGraphicFramePr>
            <xdr:cNvPr id="8" name="Size 1">
              <a:extLst>
                <a:ext uri="{FF2B5EF4-FFF2-40B4-BE49-F238E27FC236}">
                  <a16:creationId xmlns:a16="http://schemas.microsoft.com/office/drawing/2014/main" id="{91D3F726-C929-441D-81DC-4785F3F8AED8}"/>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2435652" y="1781096"/>
              <a:ext cx="2844827" cy="9604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392206</xdr:colOff>
      <xdr:row>15</xdr:row>
      <xdr:rowOff>126066</xdr:rowOff>
    </xdr:from>
    <xdr:to>
      <xdr:col>25</xdr:col>
      <xdr:colOff>607919</xdr:colOff>
      <xdr:row>26</xdr:row>
      <xdr:rowOff>140073</xdr:rowOff>
    </xdr:to>
    <xdr:graphicFrame macro="">
      <xdr:nvGraphicFramePr>
        <xdr:cNvPr id="9" name="Chart 8">
          <a:extLst>
            <a:ext uri="{FF2B5EF4-FFF2-40B4-BE49-F238E27FC236}">
              <a16:creationId xmlns:a16="http://schemas.microsoft.com/office/drawing/2014/main" id="{627BCC8D-5A86-4577-BCE5-CBD854F29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401430</xdr:colOff>
      <xdr:row>26</xdr:row>
      <xdr:rowOff>181754</xdr:rowOff>
    </xdr:from>
    <xdr:to>
      <xdr:col>25</xdr:col>
      <xdr:colOff>602316</xdr:colOff>
      <xdr:row>40</xdr:row>
      <xdr:rowOff>0</xdr:rowOff>
    </xdr:to>
    <xdr:graphicFrame macro="">
      <xdr:nvGraphicFramePr>
        <xdr:cNvPr id="10" name="Chart 9">
          <a:extLst>
            <a:ext uri="{FF2B5EF4-FFF2-40B4-BE49-F238E27FC236}">
              <a16:creationId xmlns:a16="http://schemas.microsoft.com/office/drawing/2014/main" id="{687DCC22-4BDB-4A3E-9286-26BDB8F5F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886</xdr:colOff>
      <xdr:row>10</xdr:row>
      <xdr:rowOff>11075</xdr:rowOff>
    </xdr:from>
    <xdr:to>
      <xdr:col>19</xdr:col>
      <xdr:colOff>211101</xdr:colOff>
      <xdr:row>28</xdr:row>
      <xdr:rowOff>106324</xdr:rowOff>
    </xdr:to>
    <xdr:graphicFrame macro="">
      <xdr:nvGraphicFramePr>
        <xdr:cNvPr id="2" name="Chart 1">
          <a:extLst>
            <a:ext uri="{FF2B5EF4-FFF2-40B4-BE49-F238E27FC236}">
              <a16:creationId xmlns:a16="http://schemas.microsoft.com/office/drawing/2014/main" id="{DAE6A1D3-5111-49EB-E4CE-9DF6ED80BC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752474</xdr:colOff>
      <xdr:row>1</xdr:row>
      <xdr:rowOff>180975</xdr:rowOff>
    </xdr:from>
    <xdr:to>
      <xdr:col>19</xdr:col>
      <xdr:colOff>161924</xdr:colOff>
      <xdr:row>9</xdr:row>
      <xdr:rowOff>28575</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ECE1E005-303C-8764-3AA8-BCF2E81D124C}"/>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9535410" y="369260"/>
              <a:ext cx="6863316" cy="135387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270908</xdr:colOff>
      <xdr:row>8</xdr:row>
      <xdr:rowOff>133794</xdr:rowOff>
    </xdr:from>
    <xdr:to>
      <xdr:col>22</xdr:col>
      <xdr:colOff>272237</xdr:colOff>
      <xdr:row>13</xdr:row>
      <xdr:rowOff>143984</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A66C17FA-B666-734A-C6F0-B587E5607212}"/>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6507710" y="1640073"/>
              <a:ext cx="1828800" cy="9516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293060</xdr:colOff>
      <xdr:row>3</xdr:row>
      <xdr:rowOff>23036</xdr:rowOff>
    </xdr:from>
    <xdr:to>
      <xdr:col>22</xdr:col>
      <xdr:colOff>294389</xdr:colOff>
      <xdr:row>7</xdr:row>
      <xdr:rowOff>166133</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5CC7BD3A-E007-FE52-0F4B-E340862FFE91}"/>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6529862" y="587891"/>
              <a:ext cx="1828800" cy="8962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409797</xdr:colOff>
      <xdr:row>2</xdr:row>
      <xdr:rowOff>13069</xdr:rowOff>
    </xdr:from>
    <xdr:to>
      <xdr:col>25</xdr:col>
      <xdr:colOff>361286</xdr:colOff>
      <xdr:row>7</xdr:row>
      <xdr:rowOff>188284</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D24F1AB0-DE4A-B895-4786-B9AF8C55D7D2}"/>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8474070" y="389639"/>
              <a:ext cx="1778960" cy="1116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73099</xdr:colOff>
      <xdr:row>5</xdr:row>
      <xdr:rowOff>167906</xdr:rowOff>
    </xdr:from>
    <xdr:to>
      <xdr:col>6</xdr:col>
      <xdr:colOff>1023384</xdr:colOff>
      <xdr:row>20</xdr:row>
      <xdr:rowOff>86832</xdr:rowOff>
    </xdr:to>
    <xdr:graphicFrame macro="">
      <xdr:nvGraphicFramePr>
        <xdr:cNvPr id="7" name="Chart 6">
          <a:extLst>
            <a:ext uri="{FF2B5EF4-FFF2-40B4-BE49-F238E27FC236}">
              <a16:creationId xmlns:a16="http://schemas.microsoft.com/office/drawing/2014/main" id="{51DD3071-0D3D-BE8F-FA46-D36B0734ED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981296</xdr:colOff>
      <xdr:row>4</xdr:row>
      <xdr:rowOff>1772</xdr:rowOff>
    </xdr:from>
    <xdr:to>
      <xdr:col>6</xdr:col>
      <xdr:colOff>1089837</xdr:colOff>
      <xdr:row>18</xdr:row>
      <xdr:rowOff>108984</xdr:rowOff>
    </xdr:to>
    <xdr:graphicFrame macro="">
      <xdr:nvGraphicFramePr>
        <xdr:cNvPr id="2" name="Chart 1">
          <a:extLst>
            <a:ext uri="{FF2B5EF4-FFF2-40B4-BE49-F238E27FC236}">
              <a16:creationId xmlns:a16="http://schemas.microsoft.com/office/drawing/2014/main" id="{353DB4EB-48A8-4780-B2E1-1FA17B9F7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81.417427199071" createdVersion="8" refreshedVersion="8" minRefreshableVersion="3" recordCount="1000" xr:uid="{DCA8D3F6-32D7-4E71-8A24-EEF2494BFF2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4">
        <s v="United States"/>
        <s v="Ireland"/>
        <s v="United Kingdom"/>
        <e v="#N/A" u="1"/>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 numFmtId="0">
      <sharedItems count="5">
        <s v="Robusta"/>
        <s v="Excelsa"/>
        <s v="Arabica"/>
        <s v="Liberica"/>
        <s v="" u="1"/>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7604047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C1CCEE-54E5-4917-8602-A52DB50BFFE6}" name="TotalSales" cacheId="93"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8">
  <location ref="A3:G53" firstHeaderRow="1" firstDataRow="2" firstDataCol="2"/>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3"/>
        <item x="1"/>
        <item x="0"/>
        <item x="2"/>
        <item t="default"/>
      </items>
    </pivotField>
    <pivotField compact="0" outline="0" showAll="0"/>
    <pivotField dataField="1" compact="0" outline="0" showAll="0"/>
    <pivotField axis="axisCol" compact="0" outline="0" showAll="0">
      <items count="6">
        <item m="1" x="4"/>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v="1"/>
    </i>
    <i>
      <x v="2"/>
    </i>
    <i>
      <x v="3"/>
    </i>
    <i>
      <x v="4"/>
    </i>
    <i t="grand">
      <x/>
    </i>
  </colItems>
  <dataFields count="1">
    <dataField name="Sum of Sales" fld="12" baseField="15" baseItem="6" numFmtId="3"/>
  </dataFields>
  <chartFormats count="15">
    <chartFormat chart="1" format="0" series="1">
      <pivotArea type="data" outline="0" fieldPosition="0">
        <references count="2">
          <reference field="4294967294" count="1" selected="0">
            <x v="0"/>
          </reference>
          <reference field="13" count="1" selected="0">
            <x v="1"/>
          </reference>
        </references>
      </pivotArea>
    </chartFormat>
    <chartFormat chart="1" format="1" series="1">
      <pivotArea type="data" outline="0" fieldPosition="0">
        <references count="2">
          <reference field="4294967294" count="1" selected="0">
            <x v="0"/>
          </reference>
          <reference field="13" count="1" selected="0">
            <x v="2"/>
          </reference>
        </references>
      </pivotArea>
    </chartFormat>
    <chartFormat chart="1" format="2" series="1">
      <pivotArea type="data" outline="0" fieldPosition="0">
        <references count="2">
          <reference field="4294967294" count="1" selected="0">
            <x v="0"/>
          </reference>
          <reference field="13" count="1" selected="0">
            <x v="3"/>
          </reference>
        </references>
      </pivotArea>
    </chartFormat>
    <chartFormat chart="1" format="3" series="1">
      <pivotArea type="data" outline="0" fieldPosition="0">
        <references count="2">
          <reference field="4294967294" count="1" selected="0">
            <x v="0"/>
          </reference>
          <reference field="13" count="1" selected="0">
            <x v="4"/>
          </reference>
        </references>
      </pivotArea>
    </chartFormat>
    <chartFormat chart="1" format="4">
      <pivotArea type="data" outline="0" fieldPosition="0">
        <references count="4">
          <reference field="4294967294" count="1" selected="0">
            <x v="0"/>
          </reference>
          <reference field="13" count="1" selected="0">
            <x v="2"/>
          </reference>
          <reference field="16" count="1" selected="0">
            <x v="5"/>
          </reference>
          <reference field="17" count="1" selected="0">
            <x v="2"/>
          </reference>
        </references>
      </pivotArea>
    </chartFormat>
    <chartFormat chart="1" format="5">
      <pivotArea type="data" outline="0" fieldPosition="0">
        <references count="4">
          <reference field="4294967294" count="1" selected="0">
            <x v="0"/>
          </reference>
          <reference field="13" count="1" selected="0">
            <x v="2"/>
          </reference>
          <reference field="16" count="1" selected="0">
            <x v="10"/>
          </reference>
          <reference field="17" count="1" selected="0">
            <x v="2"/>
          </reference>
        </references>
      </pivotArea>
    </chartFormat>
    <chartFormat chart="1" format="6" series="1">
      <pivotArea type="data" outline="0" fieldPosition="0">
        <references count="1">
          <reference field="4294967294" count="1" selected="0">
            <x v="0"/>
          </reference>
        </references>
      </pivotArea>
    </chartFormat>
    <chartFormat chart="27" format="11" series="1">
      <pivotArea type="data" outline="0" fieldPosition="0">
        <references count="2">
          <reference field="4294967294" count="1" selected="0">
            <x v="0"/>
          </reference>
          <reference field="13" count="1" selected="0">
            <x v="1"/>
          </reference>
        </references>
      </pivotArea>
    </chartFormat>
    <chartFormat chart="27" format="12" series="1">
      <pivotArea type="data" outline="0" fieldPosition="0">
        <references count="2">
          <reference field="4294967294" count="1" selected="0">
            <x v="0"/>
          </reference>
          <reference field="13" count="1" selected="0">
            <x v="2"/>
          </reference>
        </references>
      </pivotArea>
    </chartFormat>
    <chartFormat chart="27" format="13" series="1">
      <pivotArea type="data" outline="0" fieldPosition="0">
        <references count="2">
          <reference field="4294967294" count="1" selected="0">
            <x v="0"/>
          </reference>
          <reference field="13" count="1" selected="0">
            <x v="3"/>
          </reference>
        </references>
      </pivotArea>
    </chartFormat>
    <chartFormat chart="27" format="14" series="1">
      <pivotArea type="data" outline="0" fieldPosition="0">
        <references count="2">
          <reference field="4294967294" count="1" selected="0">
            <x v="0"/>
          </reference>
          <reference field="13" count="1" selected="0">
            <x v="4"/>
          </reference>
        </references>
      </pivotArea>
    </chartFormat>
    <chartFormat chart="27" format="15" series="1">
      <pivotArea type="data" outline="0" fieldPosition="0">
        <references count="1">
          <reference field="4294967294" count="1" selected="0">
            <x v="0"/>
          </reference>
        </references>
      </pivotArea>
    </chartFormat>
    <chartFormat chart="1" format="7">
      <pivotArea type="data" outline="0" fieldPosition="0">
        <references count="4">
          <reference field="4294967294" count="1" selected="0">
            <x v="0"/>
          </reference>
          <reference field="13" count="1" selected="0">
            <x v="1"/>
          </reference>
          <reference field="16" count="1" selected="0">
            <x v="7"/>
          </reference>
          <reference field="17" count="1" selected="0">
            <x v="1"/>
          </reference>
        </references>
      </pivotArea>
    </chartFormat>
    <chartFormat chart="1" format="8">
      <pivotArea type="data" outline="0" fieldPosition="0">
        <references count="4">
          <reference field="4294967294" count="1" selected="0">
            <x v="0"/>
          </reference>
          <reference field="13" count="1" selected="0">
            <x v="1"/>
          </reference>
          <reference field="16" count="1" selected="0">
            <x v="2"/>
          </reference>
          <reference field="17" count="1" selected="0">
            <x v="2"/>
          </reference>
        </references>
      </pivotArea>
    </chartFormat>
    <chartFormat chart="27" format="16">
      <pivotArea type="data" outline="0" fieldPosition="0">
        <references count="4">
          <reference field="4294967294" count="1" selected="0">
            <x v="0"/>
          </reference>
          <reference field="13" count="1" selected="0">
            <x v="1"/>
          </reference>
          <reference field="16" count="1" selected="0">
            <x v="9"/>
          </reference>
          <reference field="17"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337684-A1D9-4C5B-9F86-4A585D711095}" name="TotalSales" cacheId="93"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6">
  <location ref="A3:B7"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5">
        <item x="1"/>
        <item x="2"/>
        <item x="0"/>
        <item m="1"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5">
        <item x="3"/>
        <item x="1"/>
        <item x="0"/>
        <item x="2"/>
        <item t="default"/>
      </items>
    </pivotField>
    <pivotField compact="0" outline="0" showAll="0"/>
    <pivotField dataField="1" compact="0" outline="0" showAll="0"/>
    <pivotField compact="0" outline="0" showAll="0"/>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7" baseItem="1" numFmtId="168"/>
  </dataFields>
  <chartFormats count="6">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7" count="1" selected="0">
            <x v="0"/>
          </reference>
        </references>
      </pivotArea>
    </chartFormat>
    <chartFormat chart="22" format="2">
      <pivotArea type="data" outline="0" fieldPosition="0">
        <references count="2">
          <reference field="4294967294" count="1" selected="0">
            <x v="0"/>
          </reference>
          <reference field="7" count="1" selected="0">
            <x v="1"/>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7" count="1" selected="0">
            <x v="1"/>
          </reference>
        </references>
      </pivotArea>
    </chartFormat>
    <chartFormat chart="25" format="8">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D368E7-DB53-4AEA-8A2E-3B8AF5C10006}" name="TotalSales" cacheId="93"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7">
  <location ref="A3:B9"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5">
        <item x="3"/>
        <item x="1"/>
        <item x="0"/>
        <item x="2"/>
        <item t="default"/>
      </items>
    </pivotField>
    <pivotField compact="0" outline="0" showAll="0"/>
    <pivotField dataField="1" compact="0" outline="0" showAll="0"/>
    <pivotField compact="0" outline="0" showAll="0"/>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6">
    <i>
      <x v="255"/>
    </i>
    <i>
      <x v="646"/>
    </i>
    <i>
      <x v="831"/>
    </i>
    <i>
      <x v="125"/>
    </i>
    <i>
      <x v="28"/>
    </i>
    <i t="grand">
      <x/>
    </i>
  </rowItems>
  <colItems count="1">
    <i/>
  </colItems>
  <dataFields count="1">
    <dataField name="Sum of Sales" fld="12" baseField="7" baseItem="1" numFmtId="168"/>
  </dataFields>
  <chartFormats count="3">
    <chartFormat chart="22" format="0"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3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50AEBD0-4C0E-47D4-B951-14AA5CB1EB2C}" sourceName="Size">
  <pivotTables>
    <pivotTable tabId="18" name="TotalSales"/>
    <pivotTable tabId="24" name="TotalSales"/>
    <pivotTable tabId="25" name="TotalSales"/>
  </pivotTables>
  <data>
    <tabular pivotCacheId="76040471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E3A4B901-FA02-4B64-8787-A636155A1AD2}" sourceName="Roast type Name">
  <pivotTables>
    <pivotTable tabId="18" name="TotalSales"/>
    <pivotTable tabId="24" name="TotalSales"/>
    <pivotTable tabId="25" name="TotalSales"/>
  </pivotTables>
  <data>
    <tabular pivotCacheId="76040471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DD0002CD-E70C-4E83-A31F-547945083550}" sourceName="Loyalty Card">
  <pivotTables>
    <pivotTable tabId="18" name="TotalSales"/>
    <pivotTable tabId="24" name="TotalSales"/>
    <pivotTable tabId="25" name="TotalSales"/>
  </pivotTables>
  <data>
    <tabular pivotCacheId="76040471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1A9867F0-93E4-4029-A4E6-EC89089B8855}" cache="Slicer_Size" caption="Size" columnCount="2" rowHeight="241300"/>
  <slicer name="Roast type Name 1" xr10:uid="{3F646119-9F3A-4E31-951D-0117A6447C61}" cache="Slicer_Roast_type_Name" caption="Roast type Name" columnCount="3" rowHeight="241300"/>
  <slicer name="Loyalty Card 1" xr10:uid="{215194DC-F610-475D-A5C4-44D2C04EA73E}" cache="Slicer_Loyalty_Card" caption="Loyalty Car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9682D301-224E-4AB4-979D-636DB849E0E2}" cache="Slicer_Size" caption="Size" columnCount="2" rowHeight="241300"/>
  <slicer name="Roast type Name" xr10:uid="{D9E27255-9486-44EB-B630-B485BD0845AD}" cache="Slicer_Roast_type_Name" caption="Roast type Name" columnCount="3" rowHeight="241300"/>
  <slicer name="Loyalty Card" xr10:uid="{6AFBA222-19E2-4BBE-B58D-9CBCA5242571}"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64EC407-5EE5-41AB-8407-73B259576A96}" name="Table3" displayName="Table3" ref="A3:O4" totalsRowShown="0">
  <autoFilter ref="A3:O4" xr:uid="{864EC407-5EE5-41AB-8407-73B259576A96}"/>
  <tableColumns count="15">
    <tableColumn id="1" xr3:uid="{4D5852AE-DE5A-47B5-911B-01D78641E0E3}" name="Order ID"/>
    <tableColumn id="2" xr3:uid="{6E36579A-BE17-4825-BCDE-19C9E647D44B}" name="Order Date" dataDxfId="12"/>
    <tableColumn id="3" xr3:uid="{01616022-B647-4C85-A579-532F97994C0B}" name="Customer ID"/>
    <tableColumn id="4" xr3:uid="{7BFBEB35-AF4A-4E38-960C-0CFAE661CBE9}" name="Product ID"/>
    <tableColumn id="5" xr3:uid="{9DF8BDA1-B74F-4FED-9D2F-E269FAF9104E}" name="Quantity"/>
    <tableColumn id="6" xr3:uid="{582B3A4B-EED7-4AA9-9AE1-01E4531AFDED}" name="Customer Name"/>
    <tableColumn id="7" xr3:uid="{05BCA6B9-E91F-48DF-BF0C-2E7F9780C9E8}" name="Email"/>
    <tableColumn id="8" xr3:uid="{A774F3B8-8619-4AA4-BA4D-F22624C2E44C}" name="Country"/>
    <tableColumn id="9" xr3:uid="{DF4594F9-74EC-4F5B-9096-4A042C5F575A}" name="Coffee Type"/>
    <tableColumn id="10" xr3:uid="{26BF824F-98B2-44E5-B78B-A44A77A1B53A}" name="Roast Type"/>
    <tableColumn id="11" xr3:uid="{2AED993C-E940-4F8C-9F36-9AFC7CF7B6BD}" name="Size"/>
    <tableColumn id="12" xr3:uid="{E294FF5E-D0EE-4F2A-83AE-DF963A6AF4DD}" name="Unit Price"/>
    <tableColumn id="13" xr3:uid="{88B6A41E-953D-48D1-8685-3037D7A2E8B0}" name="Sales"/>
    <tableColumn id="14" xr3:uid="{7AB4838F-7CF7-47CD-BD44-8254B9B0D954}" name="Coffee Type name "/>
    <tableColumn id="15" xr3:uid="{B0BA7E9F-697F-462F-8EA5-8DFEAE5F0AB1}" name="Roast type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B0945D2-74A4-4EFE-8325-F6CF86BF52ED}" name="Table4" displayName="Table4" ref="A3:O262" totalsRowShown="0">
  <autoFilter ref="A3:O262" xr:uid="{DB0945D2-74A4-4EFE-8325-F6CF86BF52ED}"/>
  <tableColumns count="15">
    <tableColumn id="1" xr3:uid="{307D2EF0-8DB7-4AB9-923A-19283F6B7744}" name="Order ID"/>
    <tableColumn id="2" xr3:uid="{7C7E4125-5434-4942-A50E-51307267C245}" name="Order Date" dataDxfId="11"/>
    <tableColumn id="3" xr3:uid="{1125A576-EE3C-400C-A888-F9CC71F0B2E1}" name="Customer ID"/>
    <tableColumn id="4" xr3:uid="{000717FD-539A-43C9-BDCA-E2CB11AF04BF}" name="Product ID"/>
    <tableColumn id="5" xr3:uid="{59F5225C-D3DD-40EB-8E67-FC4EAB6DCB0E}" name="Quantity"/>
    <tableColumn id="6" xr3:uid="{EEB73DAD-EE3F-491B-B9DD-D0B892EEEB9D}" name="Customer Name"/>
    <tableColumn id="7" xr3:uid="{84AF3A8F-E146-4B18-ACEB-15592F4D4CA7}" name="Email"/>
    <tableColumn id="8" xr3:uid="{4D7816DD-94D6-4E60-AF03-64E4070CAC68}" name="Country"/>
    <tableColumn id="9" xr3:uid="{320F5F6E-A3DC-47C1-AB59-736F98D405E3}" name="Coffee Type"/>
    <tableColumn id="10" xr3:uid="{9196022D-7937-4C04-B023-99DB4725AE63}" name="Roast Type"/>
    <tableColumn id="11" xr3:uid="{89F9DD7C-E8E7-4E90-ADA5-5FBA11724DED}" name="Size"/>
    <tableColumn id="12" xr3:uid="{245EAA64-FAAA-4AEA-AA56-2936FECF6409}" name="Unit Price"/>
    <tableColumn id="13" xr3:uid="{519E0949-6DCC-472F-B957-54110A286F26}" name="Sales"/>
    <tableColumn id="14" xr3:uid="{F03D67DE-1D23-4AAA-A60A-FCB1A80FEBE3}" name="Coffee Type name "/>
    <tableColumn id="15" xr3:uid="{2536BA17-41EF-4293-BED0-1BB5BA1205BB}" name="Roast type Na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76EEDEE-25C3-4919-8C75-14C142BF4F42}" name="Table6" displayName="Table6" ref="A3:O25" totalsRowShown="0">
  <autoFilter ref="A3:O25" xr:uid="{A76EEDEE-25C3-4919-8C75-14C142BF4F42}"/>
  <tableColumns count="15">
    <tableColumn id="1" xr3:uid="{8F255DE0-47E3-402C-A6A1-FC3E7D789243}" name="Order ID"/>
    <tableColumn id="2" xr3:uid="{01017D70-27E6-42EC-840D-D9227E1179F1}" name="Order Date" dataDxfId="6"/>
    <tableColumn id="3" xr3:uid="{EB6AEEB1-7EF2-40B6-BFEC-57711148F03E}" name="Customer ID"/>
    <tableColumn id="4" xr3:uid="{E965CB06-FE64-490D-81DC-2D8E2152FDBB}" name="Product ID"/>
    <tableColumn id="5" xr3:uid="{154EC5B1-D5EE-4582-8010-020BFB779ECD}" name="Quantity"/>
    <tableColumn id="6" xr3:uid="{246736F5-CBE6-4F0C-9E12-D828ABC63D4B}" name="Customer Name"/>
    <tableColumn id="7" xr3:uid="{D85ADD5A-0DF2-4FEC-8120-5B5E44D5BFCA}" name="Email"/>
    <tableColumn id="8" xr3:uid="{C1AB0499-6923-46FA-B0C7-64B25A20964A}" name="Country"/>
    <tableColumn id="9" xr3:uid="{2FEC7EF9-92B5-458C-BC19-AFA5F8FFB994}" name="Coffee Type"/>
    <tableColumn id="10" xr3:uid="{6EFDBDCC-34B7-46FE-A269-5A07623D5184}" name="Roast Type"/>
    <tableColumn id="11" xr3:uid="{90794CBA-560A-4B2B-83F5-D9101B0EECF7}" name="Size"/>
    <tableColumn id="12" xr3:uid="{D7A6A84C-C51F-43A7-B06D-9E0A005795AA}" name="Unit Price"/>
    <tableColumn id="13" xr3:uid="{E35EBC3C-D986-4E6A-A360-D597CD2051BB}" name="Sales"/>
    <tableColumn id="14" xr3:uid="{3A8721AA-B9A0-4760-B486-6D1478601CE3}" name="Coffee Type name "/>
    <tableColumn id="15" xr3:uid="{3AC322B6-283A-45C3-A96A-3B81A989FBA1}" name="Roast type Nam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871BF7-8F69-4CA3-9D43-A9273B79C1F5}" name="Orders" displayName="Orders" ref="A1:P1001" totalsRowShown="0" headerRowDxfId="20">
  <autoFilter ref="A1:P1001" xr:uid="{6C871BF7-8F69-4CA3-9D43-A9273B79C1F5}"/>
  <tableColumns count="16">
    <tableColumn id="1" xr3:uid="{ECBBDC0A-F51F-4FC6-B660-C6CAF44571D8}" name="Order ID" dataDxfId="19"/>
    <tableColumn id="2" xr3:uid="{16FA8734-E669-4CF3-A361-CABA823BDF2F}" name="Order Date" dataDxfId="18"/>
    <tableColumn id="3" xr3:uid="{4905D2B6-8C4F-450A-8F98-CED26D75A751}" name="Customer ID" dataDxfId="17"/>
    <tableColumn id="4" xr3:uid="{5089461B-DF46-46B2-8EB7-2C6BEF375880}" name="Product ID"/>
    <tableColumn id="5" xr3:uid="{7B737E84-A0D4-471E-90CC-D5A1822DDFD0}" name="Quantity" dataDxfId="16"/>
    <tableColumn id="6" xr3:uid="{05AE39B5-9EC8-4F7C-BB2B-F8939DF73D3A}" name="Customer Name" dataDxfId="15">
      <calculatedColumnFormula>_xlfn.XLOOKUP(orders!C2,customers!$A$1:$A$1001,customers!$B$1:$B$1001,,0)</calculatedColumnFormula>
    </tableColumn>
    <tableColumn id="7" xr3:uid="{B1821E18-490D-436D-A88D-1D193A007DE5}" name="Email" dataDxfId="14">
      <calculatedColumnFormula>IF(_xlfn.XLOOKUP(orders!C2,customers!$A$1:$A$1001,customers!$C$1:$C$1001,,0)=0,"",_xlfn.XLOOKUP(orders!C2,customers!$A$1:$A$1001,customers!$C$1:$C$1001,,0))</calculatedColumnFormula>
    </tableColumn>
    <tableColumn id="8" xr3:uid="{171B74FD-39F4-45CB-BF08-5F6712025E7B}" name="Country" dataDxfId="0">
      <calculatedColumnFormula>_xlfn.XLOOKUP(C2,customers!$A$1:$A$1001,customers!$G$1:$G$1001,,0)</calculatedColumnFormula>
    </tableColumn>
    <tableColumn id="9" xr3:uid="{91E381C0-8A0B-4E7A-AF04-29DD73432819}" name="Coffee Type" dataDxfId="10">
      <calculatedColumnFormula>INDEX(products!$A$1:$G$49,MATCH(orders!$D2,products!$A$1:$A$49,0),MATCH(orders!I$1,products!$A$1:$G$1,0))</calculatedColumnFormula>
    </tableColumn>
    <tableColumn id="10" xr3:uid="{3C27D586-D378-43F8-A968-5D88566C4AB2}" name="Roast Type" dataDxfId="9">
      <calculatedColumnFormula>INDEX(products!$A$1:$G$49,MATCH(orders!$D2,products!$A$1:$A$49,0),MATCH(orders!J$1,products!$A$1:$G$1,0))</calculatedColumnFormula>
    </tableColumn>
    <tableColumn id="11" xr3:uid="{4AEE0DA6-58ED-4DC8-A047-AEE023DA0587}" name="Size" dataDxfId="8">
      <calculatedColumnFormula>INDEX(products!$A$1:$G$49,MATCH(orders!$D2,products!$A$1:$A$49,0),MATCH(orders!K$1,products!$A$1:$G$1,0))</calculatedColumnFormula>
    </tableColumn>
    <tableColumn id="12" xr3:uid="{0318CFF5-3046-4843-9896-425A52D6430F}" name="Unit Price" dataDxfId="7">
      <calculatedColumnFormula>INDEX(products!$A$1:$G$49,MATCH(orders!$D2,products!$A$1:$A$49,0),MATCH(orders!L$1,products!$A$1:$G$1,0))</calculatedColumnFormula>
    </tableColumn>
    <tableColumn id="13" xr3:uid="{99C90965-D55F-485A-AFEE-21D8DF57A49F}" name="Sales" dataDxfId="13" dataCellStyle="Currency">
      <calculatedColumnFormula>L2*E2</calculatedColumnFormula>
    </tableColumn>
    <tableColumn id="14" xr3:uid="{F17C1EB3-1457-4B80-8522-923BC191CDE5}" name="Coffee Type name ">
      <calculatedColumnFormula>IF(I2="Rob","Robusta",IF(I2="Exc","Excelsa",IF(I2="Ara","Arabica",IF(I2="Lib","Liberica",""))))</calculatedColumnFormula>
    </tableColumn>
    <tableColumn id="15" xr3:uid="{144EA212-5D20-43FF-88F9-38051B11D568}" name="Roast type Name">
      <calculatedColumnFormula>IF(J2="M","Medium",IF(J2="L","Light",IF(J2="D","Dark","")))</calculatedColumnFormula>
    </tableColumn>
    <tableColumn id="16" xr3:uid="{5DD1C6E0-B3F8-462C-8A33-148EE62FD067}" name="Loyalty Card" dataDxfId="3">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F33A355-6A8A-4804-B870-30261D512180}" sourceName="Order Date">
  <pivotTables>
    <pivotTable tabId="18" name="TotalSales"/>
    <pivotTable tabId="24" name="TotalSales"/>
    <pivotTable tabId="25" name="TotalSales"/>
  </pivotTables>
  <state minimalRefreshVersion="6" lastRefreshVersion="6" pivotCacheId="76040471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F8221B7F-4727-401E-9F7B-FA54893CC198}" cache="NativeTimeline_Order_Date" caption="Order Date" level="1" selectionLevel="1" scrollPosition="2019-01-01T00:00:00" style="Brown Time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7C38D4A-6E9B-44EF-8952-D238D49EACC9}" cache="NativeTimeline_Order_Date" caption="Order Date" level="3" selectionLevel="3" scrollPosition="2022-05-23T00:00:00" style="Brown Timeline Styl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30B36-5392-46FB-964E-518D4B1F73E9}">
  <dimension ref="A1:O4"/>
  <sheetViews>
    <sheetView workbookViewId="0">
      <selection activeCell="A3" sqref="A3:O4"/>
    </sheetView>
  </sheetViews>
  <sheetFormatPr defaultRowHeight="15" x14ac:dyDescent="0.25"/>
  <cols>
    <col min="1" max="1" width="14.42578125" bestFit="1" customWidth="1"/>
    <col min="2" max="2" width="13" bestFit="1" customWidth="1"/>
    <col min="3" max="3" width="15.140625" bestFit="1" customWidth="1"/>
    <col min="4" max="4" width="12.42578125" bestFit="1" customWidth="1"/>
    <col min="5" max="5" width="11" bestFit="1" customWidth="1"/>
    <col min="6" max="6" width="17.7109375" bestFit="1" customWidth="1"/>
    <col min="7" max="7" width="9.28515625" bestFit="1" customWidth="1"/>
    <col min="8" max="8" width="10.28515625" bestFit="1" customWidth="1"/>
    <col min="9" max="9" width="14" bestFit="1" customWidth="1"/>
    <col min="10" max="10" width="12.85546875" bestFit="1" customWidth="1"/>
    <col min="11" max="11" width="9.28515625" bestFit="1" customWidth="1"/>
    <col min="12" max="12" width="12" bestFit="1" customWidth="1"/>
    <col min="13" max="13" width="9.28515625" bestFit="1" customWidth="1"/>
    <col min="14" max="14" width="20.140625" bestFit="1" customWidth="1"/>
    <col min="15" max="15" width="18.42578125" bestFit="1" customWidth="1"/>
  </cols>
  <sheetData>
    <row r="1" spans="1:15" x14ac:dyDescent="0.25">
      <c r="A1" s="9" t="s">
        <v>6229</v>
      </c>
    </row>
    <row r="3" spans="1:15" x14ac:dyDescent="0.25">
      <c r="A3" t="s">
        <v>0</v>
      </c>
      <c r="B3" t="s">
        <v>1</v>
      </c>
      <c r="C3" t="s">
        <v>3</v>
      </c>
      <c r="D3" t="s">
        <v>11</v>
      </c>
      <c r="E3" t="s">
        <v>14</v>
      </c>
      <c r="F3" t="s">
        <v>4</v>
      </c>
      <c r="G3" t="s">
        <v>2</v>
      </c>
      <c r="H3" t="s">
        <v>7</v>
      </c>
      <c r="I3" t="s">
        <v>9</v>
      </c>
      <c r="J3" t="s">
        <v>10</v>
      </c>
      <c r="K3" t="s">
        <v>12</v>
      </c>
      <c r="L3" t="s">
        <v>13</v>
      </c>
      <c r="M3" t="s">
        <v>15</v>
      </c>
      <c r="N3" t="s">
        <v>6196</v>
      </c>
      <c r="O3" t="s">
        <v>6197</v>
      </c>
    </row>
    <row r="4" spans="1:15" x14ac:dyDescent="0.25">
      <c r="A4" t="s">
        <v>5890</v>
      </c>
      <c r="B4" s="8">
        <v>43582</v>
      </c>
      <c r="C4" t="s">
        <v>5764</v>
      </c>
      <c r="D4" t="s">
        <v>6167</v>
      </c>
      <c r="E4">
        <v>2</v>
      </c>
      <c r="F4" t="s">
        <v>5765</v>
      </c>
      <c r="G4" t="s">
        <v>6228</v>
      </c>
      <c r="H4" t="e">
        <v>#N/A</v>
      </c>
      <c r="I4" t="s">
        <v>9</v>
      </c>
      <c r="J4" t="s">
        <v>10</v>
      </c>
      <c r="K4" t="s">
        <v>12</v>
      </c>
      <c r="L4" t="s">
        <v>13</v>
      </c>
      <c r="M4" t="e">
        <v>#VALUE!</v>
      </c>
      <c r="N4" t="s">
        <v>6228</v>
      </c>
      <c r="O4" t="s">
        <v>6228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0D84D-B418-4275-8B87-C946CE7BBCDB}">
  <dimension ref="A1:O262"/>
  <sheetViews>
    <sheetView topLeftCell="A79" workbookViewId="0">
      <selection activeCell="A3" sqref="A3:O262"/>
    </sheetView>
  </sheetViews>
  <sheetFormatPr defaultRowHeight="15" x14ac:dyDescent="0.25"/>
  <cols>
    <col min="1" max="1" width="15.42578125" bestFit="1" customWidth="1"/>
    <col min="2" max="2" width="13" bestFit="1" customWidth="1"/>
    <col min="3" max="3" width="16.140625" bestFit="1" customWidth="1"/>
    <col min="4" max="4" width="12.42578125" bestFit="1" customWidth="1"/>
    <col min="5" max="5" width="11" bestFit="1" customWidth="1"/>
    <col min="6" max="6" width="22.5703125" bestFit="1" customWidth="1"/>
    <col min="7" max="7" width="36" bestFit="1" customWidth="1"/>
    <col min="8" max="8" width="15.42578125" bestFit="1" customWidth="1"/>
    <col min="9" max="9" width="14" bestFit="1" customWidth="1"/>
    <col min="10" max="10" width="12.85546875" bestFit="1" customWidth="1"/>
    <col min="11" max="11" width="9.28515625" bestFit="1" customWidth="1"/>
    <col min="12" max="12" width="12" bestFit="1" customWidth="1"/>
    <col min="13" max="13" width="9.28515625" bestFit="1" customWidth="1"/>
    <col min="14" max="14" width="20.140625" bestFit="1" customWidth="1"/>
    <col min="15" max="15" width="18.42578125" bestFit="1" customWidth="1"/>
  </cols>
  <sheetData>
    <row r="1" spans="1:15" x14ac:dyDescent="0.25">
      <c r="A1" s="9" t="s">
        <v>6231</v>
      </c>
    </row>
    <row r="3" spans="1:15" x14ac:dyDescent="0.25">
      <c r="A3" t="s">
        <v>0</v>
      </c>
      <c r="B3" t="s">
        <v>1</v>
      </c>
      <c r="C3" t="s">
        <v>3</v>
      </c>
      <c r="D3" t="s">
        <v>11</v>
      </c>
      <c r="E3" t="s">
        <v>14</v>
      </c>
      <c r="F3" t="s">
        <v>4</v>
      </c>
      <c r="G3" t="s">
        <v>2</v>
      </c>
      <c r="H3" t="s">
        <v>7</v>
      </c>
      <c r="I3" t="s">
        <v>9</v>
      </c>
      <c r="J3" t="s">
        <v>10</v>
      </c>
      <c r="K3" t="s">
        <v>12</v>
      </c>
      <c r="L3" t="s">
        <v>13</v>
      </c>
      <c r="M3" t="s">
        <v>15</v>
      </c>
      <c r="N3" t="s">
        <v>6196</v>
      </c>
      <c r="O3" t="s">
        <v>6197</v>
      </c>
    </row>
    <row r="4" spans="1:15" x14ac:dyDescent="0.25">
      <c r="A4" t="s">
        <v>4949</v>
      </c>
      <c r="B4" s="8">
        <v>43485</v>
      </c>
      <c r="C4" t="s">
        <v>4950</v>
      </c>
      <c r="D4" t="s">
        <v>6140</v>
      </c>
      <c r="E4">
        <v>6</v>
      </c>
      <c r="F4" t="s">
        <v>4951</v>
      </c>
      <c r="G4" t="s">
        <v>4952</v>
      </c>
      <c r="H4" t="s">
        <v>19</v>
      </c>
      <c r="I4" t="s">
        <v>6193</v>
      </c>
      <c r="J4" t="s">
        <v>6186</v>
      </c>
      <c r="K4">
        <v>0.5</v>
      </c>
      <c r="L4">
        <v>7.77</v>
      </c>
      <c r="M4">
        <v>46.62</v>
      </c>
      <c r="N4" t="s">
        <v>6221</v>
      </c>
      <c r="O4" t="s">
        <v>6230</v>
      </c>
    </row>
    <row r="5" spans="1:15" x14ac:dyDescent="0.25">
      <c r="A5" t="s">
        <v>4185</v>
      </c>
      <c r="B5" s="8">
        <v>43476</v>
      </c>
      <c r="C5" t="s">
        <v>4186</v>
      </c>
      <c r="D5" t="s">
        <v>6168</v>
      </c>
      <c r="E5">
        <v>3</v>
      </c>
      <c r="F5" t="s">
        <v>4187</v>
      </c>
      <c r="G5" t="s">
        <v>4188</v>
      </c>
      <c r="H5" t="s">
        <v>19</v>
      </c>
      <c r="I5" t="s">
        <v>6193</v>
      </c>
      <c r="J5" t="s">
        <v>6187</v>
      </c>
      <c r="K5">
        <v>1</v>
      </c>
      <c r="L5">
        <v>9.9499999999999993</v>
      </c>
      <c r="M5">
        <v>29.849999999999998</v>
      </c>
      <c r="N5" t="s">
        <v>6221</v>
      </c>
      <c r="O5" t="s">
        <v>6225</v>
      </c>
    </row>
    <row r="6" spans="1:15" x14ac:dyDescent="0.25">
      <c r="A6" t="s">
        <v>1436</v>
      </c>
      <c r="B6" s="8">
        <v>43484</v>
      </c>
      <c r="C6" t="s">
        <v>1437</v>
      </c>
      <c r="D6" t="s">
        <v>6157</v>
      </c>
      <c r="E6">
        <v>6</v>
      </c>
      <c r="F6" t="s">
        <v>1438</v>
      </c>
      <c r="G6" t="s">
        <v>6228</v>
      </c>
      <c r="H6" t="s">
        <v>318</v>
      </c>
      <c r="I6" t="s">
        <v>6193</v>
      </c>
      <c r="J6" t="s">
        <v>6188</v>
      </c>
      <c r="K6">
        <v>0.2</v>
      </c>
      <c r="L6">
        <v>3.375</v>
      </c>
      <c r="M6">
        <v>20.25</v>
      </c>
      <c r="N6" t="s">
        <v>6221</v>
      </c>
      <c r="O6" t="s">
        <v>6226</v>
      </c>
    </row>
    <row r="7" spans="1:15" x14ac:dyDescent="0.25">
      <c r="A7" t="s">
        <v>5949</v>
      </c>
      <c r="B7" s="8">
        <v>43491</v>
      </c>
      <c r="C7" t="s">
        <v>5950</v>
      </c>
      <c r="D7" t="s">
        <v>6176</v>
      </c>
      <c r="E7">
        <v>6</v>
      </c>
      <c r="F7" t="s">
        <v>5951</v>
      </c>
      <c r="G7" t="s">
        <v>5952</v>
      </c>
      <c r="H7" t="s">
        <v>19</v>
      </c>
      <c r="I7" t="s">
        <v>6194</v>
      </c>
      <c r="J7" t="s">
        <v>6186</v>
      </c>
      <c r="K7">
        <v>0.2</v>
      </c>
      <c r="L7">
        <v>4.4550000000000001</v>
      </c>
      <c r="M7">
        <v>26.73</v>
      </c>
      <c r="N7" t="s">
        <v>6222</v>
      </c>
      <c r="O7" t="s">
        <v>6230</v>
      </c>
    </row>
    <row r="8" spans="1:15" x14ac:dyDescent="0.25">
      <c r="A8" t="s">
        <v>5731</v>
      </c>
      <c r="B8" s="8">
        <v>43474</v>
      </c>
      <c r="C8" t="s">
        <v>5732</v>
      </c>
      <c r="D8" t="s">
        <v>6185</v>
      </c>
      <c r="E8">
        <v>4</v>
      </c>
      <c r="F8" t="s">
        <v>5733</v>
      </c>
      <c r="G8" t="s">
        <v>5734</v>
      </c>
      <c r="H8" t="s">
        <v>19</v>
      </c>
      <c r="I8" t="s">
        <v>6194</v>
      </c>
      <c r="J8" t="s">
        <v>6187</v>
      </c>
      <c r="K8">
        <v>1</v>
      </c>
      <c r="L8">
        <v>12.15</v>
      </c>
      <c r="M8">
        <v>48.6</v>
      </c>
      <c r="N8" t="s">
        <v>6222</v>
      </c>
      <c r="O8" t="s">
        <v>6225</v>
      </c>
    </row>
    <row r="9" spans="1:15" x14ac:dyDescent="0.25">
      <c r="A9" t="s">
        <v>5283</v>
      </c>
      <c r="B9" s="8">
        <v>43468</v>
      </c>
      <c r="C9" t="s">
        <v>5284</v>
      </c>
      <c r="D9" t="s">
        <v>6176</v>
      </c>
      <c r="E9">
        <v>6</v>
      </c>
      <c r="F9" t="s">
        <v>5285</v>
      </c>
      <c r="G9" t="s">
        <v>6228</v>
      </c>
      <c r="H9" t="s">
        <v>19</v>
      </c>
      <c r="I9" t="s">
        <v>6194</v>
      </c>
      <c r="J9" t="s">
        <v>6186</v>
      </c>
      <c r="K9">
        <v>0.2</v>
      </c>
      <c r="L9">
        <v>4.4550000000000001</v>
      </c>
      <c r="M9">
        <v>26.73</v>
      </c>
      <c r="N9" t="s">
        <v>6222</v>
      </c>
      <c r="O9" t="s">
        <v>6230</v>
      </c>
    </row>
    <row r="10" spans="1:15" x14ac:dyDescent="0.25">
      <c r="A10" t="s">
        <v>4494</v>
      </c>
      <c r="B10" s="8">
        <v>43485</v>
      </c>
      <c r="C10" t="s">
        <v>4495</v>
      </c>
      <c r="D10" t="s">
        <v>6176</v>
      </c>
      <c r="E10">
        <v>2</v>
      </c>
      <c r="F10" t="s">
        <v>4496</v>
      </c>
      <c r="G10" t="s">
        <v>6228</v>
      </c>
      <c r="H10" t="s">
        <v>19</v>
      </c>
      <c r="I10" t="s">
        <v>6194</v>
      </c>
      <c r="J10" t="s">
        <v>6186</v>
      </c>
      <c r="K10">
        <v>0.2</v>
      </c>
      <c r="L10">
        <v>4.4550000000000001</v>
      </c>
      <c r="M10">
        <v>8.91</v>
      </c>
      <c r="N10" t="s">
        <v>6222</v>
      </c>
      <c r="O10" t="s">
        <v>6230</v>
      </c>
    </row>
    <row r="11" spans="1:15" x14ac:dyDescent="0.25">
      <c r="A11" t="s">
        <v>4371</v>
      </c>
      <c r="B11" s="8">
        <v>43471</v>
      </c>
      <c r="C11" t="s">
        <v>4372</v>
      </c>
      <c r="D11" t="s">
        <v>6139</v>
      </c>
      <c r="E11">
        <v>2</v>
      </c>
      <c r="F11" t="s">
        <v>4373</v>
      </c>
      <c r="G11" t="s">
        <v>4374</v>
      </c>
      <c r="H11" t="s">
        <v>19</v>
      </c>
      <c r="I11" t="s">
        <v>6194</v>
      </c>
      <c r="J11" t="s">
        <v>6188</v>
      </c>
      <c r="K11">
        <v>0.2</v>
      </c>
      <c r="L11">
        <v>4.125</v>
      </c>
      <c r="M11">
        <v>8.25</v>
      </c>
      <c r="N11" t="s">
        <v>6222</v>
      </c>
      <c r="O11" t="s">
        <v>6226</v>
      </c>
    </row>
    <row r="12" spans="1:15" x14ac:dyDescent="0.25">
      <c r="A12" t="s">
        <v>3323</v>
      </c>
      <c r="B12" s="8">
        <v>43467</v>
      </c>
      <c r="C12" t="s">
        <v>3324</v>
      </c>
      <c r="D12" t="s">
        <v>6156</v>
      </c>
      <c r="E12">
        <v>4</v>
      </c>
      <c r="F12" t="s">
        <v>3325</v>
      </c>
      <c r="G12" t="s">
        <v>3326</v>
      </c>
      <c r="H12" t="s">
        <v>28</v>
      </c>
      <c r="I12" t="s">
        <v>6194</v>
      </c>
      <c r="J12" t="s">
        <v>6186</v>
      </c>
      <c r="K12">
        <v>2.5</v>
      </c>
      <c r="L12">
        <v>34.154999999999994</v>
      </c>
      <c r="M12">
        <v>136.61999999999998</v>
      </c>
      <c r="N12" t="s">
        <v>6222</v>
      </c>
      <c r="O12" t="s">
        <v>6230</v>
      </c>
    </row>
    <row r="13" spans="1:15" x14ac:dyDescent="0.25">
      <c r="A13" t="s">
        <v>1532</v>
      </c>
      <c r="B13" s="8">
        <v>43483</v>
      </c>
      <c r="C13" t="s">
        <v>1533</v>
      </c>
      <c r="D13" t="s">
        <v>6144</v>
      </c>
      <c r="E13">
        <v>5</v>
      </c>
      <c r="F13" t="s">
        <v>1534</v>
      </c>
      <c r="G13" t="s">
        <v>1535</v>
      </c>
      <c r="H13" t="s">
        <v>19</v>
      </c>
      <c r="I13" t="s">
        <v>6194</v>
      </c>
      <c r="J13" t="s">
        <v>6187</v>
      </c>
      <c r="K13">
        <v>0.2</v>
      </c>
      <c r="L13">
        <v>3.645</v>
      </c>
      <c r="M13">
        <v>18.225000000000001</v>
      </c>
      <c r="N13" t="s">
        <v>6222</v>
      </c>
      <c r="O13" t="s">
        <v>6225</v>
      </c>
    </row>
    <row r="14" spans="1:15" x14ac:dyDescent="0.25">
      <c r="A14" t="s">
        <v>4614</v>
      </c>
      <c r="B14" s="8">
        <v>43475</v>
      </c>
      <c r="C14" t="s">
        <v>4615</v>
      </c>
      <c r="D14" t="s">
        <v>6164</v>
      </c>
      <c r="E14">
        <v>1</v>
      </c>
      <c r="F14" t="s">
        <v>4616</v>
      </c>
      <c r="G14" t="s">
        <v>4617</v>
      </c>
      <c r="H14" t="s">
        <v>19</v>
      </c>
      <c r="I14" t="s">
        <v>6195</v>
      </c>
      <c r="J14" t="s">
        <v>6186</v>
      </c>
      <c r="K14">
        <v>1</v>
      </c>
      <c r="L14">
        <v>15.85</v>
      </c>
      <c r="M14">
        <v>15.85</v>
      </c>
      <c r="N14" t="s">
        <v>6223</v>
      </c>
      <c r="O14" t="s">
        <v>6230</v>
      </c>
    </row>
    <row r="15" spans="1:15" x14ac:dyDescent="0.25">
      <c r="A15" t="s">
        <v>4080</v>
      </c>
      <c r="B15" s="8">
        <v>43487</v>
      </c>
      <c r="C15" t="s">
        <v>4081</v>
      </c>
      <c r="D15" t="s">
        <v>6170</v>
      </c>
      <c r="E15">
        <v>6</v>
      </c>
      <c r="F15" t="s">
        <v>4082</v>
      </c>
      <c r="G15" t="s">
        <v>4083</v>
      </c>
      <c r="H15" t="s">
        <v>19</v>
      </c>
      <c r="I15" t="s">
        <v>6195</v>
      </c>
      <c r="J15" t="s">
        <v>6186</v>
      </c>
      <c r="K15">
        <v>0.5</v>
      </c>
      <c r="L15">
        <v>9.51</v>
      </c>
      <c r="M15">
        <v>57.06</v>
      </c>
      <c r="N15" t="s">
        <v>6223</v>
      </c>
      <c r="O15" t="s">
        <v>6230</v>
      </c>
    </row>
    <row r="16" spans="1:15" x14ac:dyDescent="0.25">
      <c r="A16" t="s">
        <v>3323</v>
      </c>
      <c r="B16" s="8">
        <v>43467</v>
      </c>
      <c r="C16" t="s">
        <v>3324</v>
      </c>
      <c r="D16" t="s">
        <v>6143</v>
      </c>
      <c r="E16">
        <v>4</v>
      </c>
      <c r="F16" t="s">
        <v>3325</v>
      </c>
      <c r="G16" t="s">
        <v>3326</v>
      </c>
      <c r="H16" t="e">
        <v>#N/A</v>
      </c>
      <c r="I16" t="s">
        <v>6195</v>
      </c>
      <c r="J16" t="s">
        <v>6187</v>
      </c>
      <c r="K16">
        <v>0.5</v>
      </c>
      <c r="L16">
        <v>7.77</v>
      </c>
      <c r="M16">
        <v>31.08</v>
      </c>
      <c r="N16" t="s">
        <v>6223</v>
      </c>
      <c r="O16" t="s">
        <v>6225</v>
      </c>
    </row>
    <row r="17" spans="1:15" x14ac:dyDescent="0.25">
      <c r="A17" t="s">
        <v>2956</v>
      </c>
      <c r="B17" s="8">
        <v>43483</v>
      </c>
      <c r="C17" t="s">
        <v>3042</v>
      </c>
      <c r="D17" t="s">
        <v>6169</v>
      </c>
      <c r="E17">
        <v>2</v>
      </c>
      <c r="F17" t="s">
        <v>3043</v>
      </c>
      <c r="G17" t="s">
        <v>3044</v>
      </c>
      <c r="H17" t="s">
        <v>19</v>
      </c>
      <c r="I17" t="s">
        <v>6195</v>
      </c>
      <c r="J17" t="s">
        <v>6187</v>
      </c>
      <c r="K17">
        <v>0.2</v>
      </c>
      <c r="L17">
        <v>3.8849999999999998</v>
      </c>
      <c r="M17">
        <v>7.77</v>
      </c>
      <c r="N17" t="s">
        <v>6223</v>
      </c>
      <c r="O17" t="s">
        <v>6225</v>
      </c>
    </row>
    <row r="18" spans="1:15" x14ac:dyDescent="0.25">
      <c r="A18" t="s">
        <v>535</v>
      </c>
      <c r="B18" s="8">
        <v>43467</v>
      </c>
      <c r="C18" t="s">
        <v>536</v>
      </c>
      <c r="D18" t="s">
        <v>6146</v>
      </c>
      <c r="E18">
        <v>3</v>
      </c>
      <c r="F18" t="s">
        <v>537</v>
      </c>
      <c r="G18" t="s">
        <v>538</v>
      </c>
      <c r="H18" t="s">
        <v>19</v>
      </c>
      <c r="I18" t="s">
        <v>6192</v>
      </c>
      <c r="J18" t="s">
        <v>6188</v>
      </c>
      <c r="K18">
        <v>0.2</v>
      </c>
      <c r="L18">
        <v>2.9849999999999999</v>
      </c>
      <c r="M18">
        <v>8.9550000000000001</v>
      </c>
      <c r="N18" t="s">
        <v>6224</v>
      </c>
      <c r="O18" t="s">
        <v>6226</v>
      </c>
    </row>
    <row r="19" spans="1:15" x14ac:dyDescent="0.25">
      <c r="A19" t="s">
        <v>4847</v>
      </c>
      <c r="B19" s="8">
        <v>43468</v>
      </c>
      <c r="C19" t="s">
        <v>4848</v>
      </c>
      <c r="D19" t="s">
        <v>6173</v>
      </c>
      <c r="E19">
        <v>3</v>
      </c>
      <c r="F19" t="s">
        <v>4849</v>
      </c>
      <c r="G19" t="s">
        <v>4850</v>
      </c>
      <c r="H19" t="s">
        <v>19</v>
      </c>
      <c r="I19" t="s">
        <v>6192</v>
      </c>
      <c r="J19" t="s">
        <v>6186</v>
      </c>
      <c r="K19">
        <v>0.2</v>
      </c>
      <c r="L19">
        <v>3.5849999999999995</v>
      </c>
      <c r="M19">
        <v>10.754999999999999</v>
      </c>
      <c r="N19" t="s">
        <v>6224</v>
      </c>
      <c r="O19" t="s">
        <v>6230</v>
      </c>
    </row>
    <row r="20" spans="1:15" x14ac:dyDescent="0.25">
      <c r="A20" t="s">
        <v>3866</v>
      </c>
      <c r="B20" s="8">
        <v>43471</v>
      </c>
      <c r="C20" t="s">
        <v>3867</v>
      </c>
      <c r="D20" t="s">
        <v>6174</v>
      </c>
      <c r="E20">
        <v>4</v>
      </c>
      <c r="F20" t="s">
        <v>3868</v>
      </c>
      <c r="G20" t="s">
        <v>3869</v>
      </c>
      <c r="H20" t="s">
        <v>19</v>
      </c>
      <c r="I20" t="s">
        <v>6192</v>
      </c>
      <c r="J20" t="s">
        <v>6186</v>
      </c>
      <c r="K20">
        <v>2.5</v>
      </c>
      <c r="L20">
        <v>27.484999999999996</v>
      </c>
      <c r="M20">
        <v>109.93999999999998</v>
      </c>
      <c r="N20" t="s">
        <v>6224</v>
      </c>
      <c r="O20" t="s">
        <v>6230</v>
      </c>
    </row>
    <row r="21" spans="1:15" x14ac:dyDescent="0.25">
      <c r="A21" t="s">
        <v>3481</v>
      </c>
      <c r="B21" s="8">
        <v>43475</v>
      </c>
      <c r="C21" t="s">
        <v>3482</v>
      </c>
      <c r="D21" t="s">
        <v>6138</v>
      </c>
      <c r="E21">
        <v>6</v>
      </c>
      <c r="F21" t="s">
        <v>3483</v>
      </c>
      <c r="G21" t="s">
        <v>3484</v>
      </c>
      <c r="H21" t="s">
        <v>19</v>
      </c>
      <c r="I21" t="s">
        <v>6192</v>
      </c>
      <c r="J21" t="s">
        <v>6188</v>
      </c>
      <c r="K21">
        <v>0.5</v>
      </c>
      <c r="L21">
        <v>5.97</v>
      </c>
      <c r="M21">
        <v>35.82</v>
      </c>
      <c r="N21" t="s">
        <v>6224</v>
      </c>
      <c r="O21" t="s">
        <v>6226</v>
      </c>
    </row>
    <row r="22" spans="1:15" x14ac:dyDescent="0.25">
      <c r="A22" t="s">
        <v>3323</v>
      </c>
      <c r="B22" s="8">
        <v>43467</v>
      </c>
      <c r="C22" t="s">
        <v>3324</v>
      </c>
      <c r="D22" t="s">
        <v>6145</v>
      </c>
      <c r="E22">
        <v>3</v>
      </c>
      <c r="F22" t="s">
        <v>3325</v>
      </c>
      <c r="G22" t="s">
        <v>3326</v>
      </c>
      <c r="H22" t="e">
        <v>#N/A</v>
      </c>
      <c r="I22" t="s">
        <v>6192</v>
      </c>
      <c r="J22" t="s">
        <v>6187</v>
      </c>
      <c r="K22">
        <v>2.5</v>
      </c>
      <c r="L22">
        <v>20.584999999999997</v>
      </c>
      <c r="M22">
        <v>61.754999999999995</v>
      </c>
      <c r="N22" t="s">
        <v>6224</v>
      </c>
      <c r="O22" t="s">
        <v>6225</v>
      </c>
    </row>
    <row r="23" spans="1:15" x14ac:dyDescent="0.25">
      <c r="A23" t="s">
        <v>3323</v>
      </c>
      <c r="B23" s="8">
        <v>43467</v>
      </c>
      <c r="C23" t="s">
        <v>3324</v>
      </c>
      <c r="D23" t="s">
        <v>6174</v>
      </c>
      <c r="E23">
        <v>4</v>
      </c>
      <c r="F23" t="s">
        <v>3325</v>
      </c>
      <c r="G23" t="s">
        <v>3326</v>
      </c>
      <c r="H23" t="s">
        <v>28</v>
      </c>
      <c r="I23" t="s">
        <v>6192</v>
      </c>
      <c r="J23" t="s">
        <v>6186</v>
      </c>
      <c r="K23">
        <v>2.5</v>
      </c>
      <c r="L23">
        <v>27.484999999999996</v>
      </c>
      <c r="M23">
        <v>109.93999999999998</v>
      </c>
      <c r="N23" t="s">
        <v>6224</v>
      </c>
      <c r="O23" t="s">
        <v>6230</v>
      </c>
    </row>
    <row r="24" spans="1:15" x14ac:dyDescent="0.25">
      <c r="A24" t="s">
        <v>637</v>
      </c>
      <c r="B24" s="8">
        <v>43516</v>
      </c>
      <c r="C24" t="s">
        <v>638</v>
      </c>
      <c r="D24" t="s">
        <v>6157</v>
      </c>
      <c r="E24">
        <v>4</v>
      </c>
      <c r="F24" t="s">
        <v>639</v>
      </c>
      <c r="G24" t="s">
        <v>640</v>
      </c>
      <c r="H24" t="s">
        <v>19</v>
      </c>
      <c r="I24" t="s">
        <v>6193</v>
      </c>
      <c r="J24" t="s">
        <v>6188</v>
      </c>
      <c r="K24">
        <v>0.2</v>
      </c>
      <c r="L24">
        <v>3.375</v>
      </c>
      <c r="M24">
        <v>13.5</v>
      </c>
      <c r="N24" t="s">
        <v>6221</v>
      </c>
      <c r="O24" t="s">
        <v>6226</v>
      </c>
    </row>
    <row r="25" spans="1:15" x14ac:dyDescent="0.25">
      <c r="A25" t="s">
        <v>655</v>
      </c>
      <c r="B25" s="8">
        <v>43516</v>
      </c>
      <c r="C25" t="s">
        <v>656</v>
      </c>
      <c r="D25" t="s">
        <v>6147</v>
      </c>
      <c r="E25">
        <v>4</v>
      </c>
      <c r="F25" t="s">
        <v>657</v>
      </c>
      <c r="G25" t="s">
        <v>658</v>
      </c>
      <c r="H25" t="s">
        <v>318</v>
      </c>
      <c r="I25" t="s">
        <v>6193</v>
      </c>
      <c r="J25" t="s">
        <v>6187</v>
      </c>
      <c r="K25">
        <v>0.5</v>
      </c>
      <c r="L25">
        <v>5.97</v>
      </c>
      <c r="M25">
        <v>23.88</v>
      </c>
      <c r="N25" t="s">
        <v>6221</v>
      </c>
      <c r="O25" t="s">
        <v>6225</v>
      </c>
    </row>
    <row r="26" spans="1:15" x14ac:dyDescent="0.25">
      <c r="A26" t="s">
        <v>5421</v>
      </c>
      <c r="B26" s="8">
        <v>43521</v>
      </c>
      <c r="C26" t="s">
        <v>5422</v>
      </c>
      <c r="D26" t="s">
        <v>6155</v>
      </c>
      <c r="E26">
        <v>2</v>
      </c>
      <c r="F26" t="s">
        <v>5423</v>
      </c>
      <c r="G26" t="s">
        <v>5424</v>
      </c>
      <c r="H26" t="s">
        <v>19</v>
      </c>
      <c r="I26" t="s">
        <v>6193</v>
      </c>
      <c r="J26" t="s">
        <v>6188</v>
      </c>
      <c r="K26">
        <v>0.5</v>
      </c>
      <c r="L26">
        <v>6.75</v>
      </c>
      <c r="M26">
        <v>13.5</v>
      </c>
      <c r="N26" t="s">
        <v>6221</v>
      </c>
      <c r="O26" t="s">
        <v>6226</v>
      </c>
    </row>
    <row r="27" spans="1:15" x14ac:dyDescent="0.25">
      <c r="A27" t="s">
        <v>3844</v>
      </c>
      <c r="B27" s="8">
        <v>43512</v>
      </c>
      <c r="C27" t="s">
        <v>3845</v>
      </c>
      <c r="D27" t="s">
        <v>6182</v>
      </c>
      <c r="E27">
        <v>2</v>
      </c>
      <c r="F27" t="s">
        <v>3846</v>
      </c>
      <c r="G27" t="s">
        <v>3847</v>
      </c>
      <c r="H27" t="s">
        <v>19</v>
      </c>
      <c r="I27" t="s">
        <v>6193</v>
      </c>
      <c r="J27" t="s">
        <v>6186</v>
      </c>
      <c r="K27">
        <v>1</v>
      </c>
      <c r="L27">
        <v>12.95</v>
      </c>
      <c r="M27">
        <v>25.9</v>
      </c>
      <c r="N27" t="s">
        <v>6221</v>
      </c>
      <c r="O27" t="s">
        <v>6230</v>
      </c>
    </row>
    <row r="28" spans="1:15" x14ac:dyDescent="0.25">
      <c r="A28" t="s">
        <v>3724</v>
      </c>
      <c r="B28" s="8">
        <v>43515</v>
      </c>
      <c r="C28" t="s">
        <v>3725</v>
      </c>
      <c r="D28" t="s">
        <v>6154</v>
      </c>
      <c r="E28">
        <v>2</v>
      </c>
      <c r="F28" t="s">
        <v>3726</v>
      </c>
      <c r="G28" t="s">
        <v>6228</v>
      </c>
      <c r="H28" t="s">
        <v>19</v>
      </c>
      <c r="I28" t="s">
        <v>6193</v>
      </c>
      <c r="J28" t="s">
        <v>6188</v>
      </c>
      <c r="K28">
        <v>2.5</v>
      </c>
      <c r="L28">
        <v>25.874999999999996</v>
      </c>
      <c r="M28">
        <v>51.749999999999993</v>
      </c>
      <c r="N28" t="s">
        <v>6221</v>
      </c>
      <c r="O28" t="s">
        <v>6226</v>
      </c>
    </row>
    <row r="29" spans="1:15" x14ac:dyDescent="0.25">
      <c r="A29" t="s">
        <v>3355</v>
      </c>
      <c r="B29" s="8">
        <v>43516</v>
      </c>
      <c r="C29" t="s">
        <v>3356</v>
      </c>
      <c r="D29" t="s">
        <v>6182</v>
      </c>
      <c r="E29">
        <v>3</v>
      </c>
      <c r="F29" t="s">
        <v>3357</v>
      </c>
      <c r="G29" t="s">
        <v>3358</v>
      </c>
      <c r="H29" t="s">
        <v>19</v>
      </c>
      <c r="I29" t="s">
        <v>6193</v>
      </c>
      <c r="J29" t="s">
        <v>6186</v>
      </c>
      <c r="K29">
        <v>1</v>
      </c>
      <c r="L29">
        <v>12.95</v>
      </c>
      <c r="M29">
        <v>38.849999999999994</v>
      </c>
      <c r="N29" t="s">
        <v>6221</v>
      </c>
      <c r="O29" t="s">
        <v>6230</v>
      </c>
    </row>
    <row r="30" spans="1:15" x14ac:dyDescent="0.25">
      <c r="A30" t="s">
        <v>2085</v>
      </c>
      <c r="B30" s="8">
        <v>43520</v>
      </c>
      <c r="C30" t="s">
        <v>2086</v>
      </c>
      <c r="D30" t="s">
        <v>6180</v>
      </c>
      <c r="E30">
        <v>1</v>
      </c>
      <c r="F30" t="s">
        <v>2087</v>
      </c>
      <c r="G30" t="s">
        <v>2088</v>
      </c>
      <c r="H30" t="s">
        <v>28</v>
      </c>
      <c r="I30" t="s">
        <v>6193</v>
      </c>
      <c r="J30" t="s">
        <v>6186</v>
      </c>
      <c r="K30">
        <v>0.2</v>
      </c>
      <c r="L30">
        <v>3.8849999999999998</v>
      </c>
      <c r="M30">
        <v>3.8849999999999998</v>
      </c>
      <c r="N30" t="s">
        <v>6221</v>
      </c>
      <c r="O30" t="s">
        <v>6230</v>
      </c>
    </row>
    <row r="31" spans="1:15" x14ac:dyDescent="0.25">
      <c r="A31" t="s">
        <v>5123</v>
      </c>
      <c r="B31" s="8">
        <v>43510</v>
      </c>
      <c r="C31" t="s">
        <v>5124</v>
      </c>
      <c r="D31" t="s">
        <v>6141</v>
      </c>
      <c r="E31">
        <v>4</v>
      </c>
      <c r="F31" t="s">
        <v>5125</v>
      </c>
      <c r="G31" t="s">
        <v>5126</v>
      </c>
      <c r="H31" t="s">
        <v>19</v>
      </c>
      <c r="I31" t="s">
        <v>6194</v>
      </c>
      <c r="J31" t="s">
        <v>6188</v>
      </c>
      <c r="K31">
        <v>0.5</v>
      </c>
      <c r="L31">
        <v>8.25</v>
      </c>
      <c r="M31">
        <v>33</v>
      </c>
      <c r="N31" t="s">
        <v>6222</v>
      </c>
      <c r="O31" t="s">
        <v>6226</v>
      </c>
    </row>
    <row r="32" spans="1:15" x14ac:dyDescent="0.25">
      <c r="A32" t="s">
        <v>3469</v>
      </c>
      <c r="B32" s="8">
        <v>43517</v>
      </c>
      <c r="C32" t="s">
        <v>3470</v>
      </c>
      <c r="D32" t="s">
        <v>6139</v>
      </c>
      <c r="E32">
        <v>5</v>
      </c>
      <c r="F32" t="s">
        <v>3471</v>
      </c>
      <c r="G32" t="s">
        <v>3472</v>
      </c>
      <c r="H32" t="s">
        <v>28</v>
      </c>
      <c r="I32" t="s">
        <v>6194</v>
      </c>
      <c r="J32" t="s">
        <v>6188</v>
      </c>
      <c r="K32">
        <v>0.2</v>
      </c>
      <c r="L32">
        <v>4.125</v>
      </c>
      <c r="M32">
        <v>20.625</v>
      </c>
      <c r="N32" t="s">
        <v>6222</v>
      </c>
      <c r="O32" t="s">
        <v>6226</v>
      </c>
    </row>
    <row r="33" spans="1:15" x14ac:dyDescent="0.25">
      <c r="A33" t="s">
        <v>2573</v>
      </c>
      <c r="B33" s="8">
        <v>43501</v>
      </c>
      <c r="C33" t="s">
        <v>2574</v>
      </c>
      <c r="D33" t="s">
        <v>6183</v>
      </c>
      <c r="E33">
        <v>2</v>
      </c>
      <c r="F33" t="s">
        <v>2575</v>
      </c>
      <c r="G33" t="s">
        <v>2576</v>
      </c>
      <c r="H33" t="s">
        <v>19</v>
      </c>
      <c r="I33" t="s">
        <v>6194</v>
      </c>
      <c r="J33" t="s">
        <v>6187</v>
      </c>
      <c r="K33">
        <v>0.5</v>
      </c>
      <c r="L33">
        <v>7.29</v>
      </c>
      <c r="M33">
        <v>14.58</v>
      </c>
      <c r="N33" t="s">
        <v>6222</v>
      </c>
      <c r="O33" t="s">
        <v>6225</v>
      </c>
    </row>
    <row r="34" spans="1:15" x14ac:dyDescent="0.25">
      <c r="A34" t="s">
        <v>2569</v>
      </c>
      <c r="B34" s="8">
        <v>43500</v>
      </c>
      <c r="C34" t="s">
        <v>2570</v>
      </c>
      <c r="D34" t="s">
        <v>6176</v>
      </c>
      <c r="E34">
        <v>1</v>
      </c>
      <c r="F34" t="s">
        <v>2571</v>
      </c>
      <c r="G34" t="s">
        <v>6228</v>
      </c>
      <c r="H34" t="s">
        <v>19</v>
      </c>
      <c r="I34" t="s">
        <v>6194</v>
      </c>
      <c r="J34" t="s">
        <v>6186</v>
      </c>
      <c r="K34">
        <v>0.2</v>
      </c>
      <c r="L34">
        <v>4.4550000000000001</v>
      </c>
      <c r="M34">
        <v>4.4550000000000001</v>
      </c>
      <c r="N34" t="s">
        <v>6222</v>
      </c>
      <c r="O34" t="s">
        <v>6230</v>
      </c>
    </row>
    <row r="35" spans="1:15" x14ac:dyDescent="0.25">
      <c r="A35" t="s">
        <v>5834</v>
      </c>
      <c r="B35" s="8">
        <v>43524</v>
      </c>
      <c r="C35" t="s">
        <v>5835</v>
      </c>
      <c r="D35" t="s">
        <v>6165</v>
      </c>
      <c r="E35">
        <v>4</v>
      </c>
      <c r="F35" t="s">
        <v>5836</v>
      </c>
      <c r="G35" t="s">
        <v>6228</v>
      </c>
      <c r="H35" t="s">
        <v>19</v>
      </c>
      <c r="I35" t="s">
        <v>6195</v>
      </c>
      <c r="J35" t="s">
        <v>6187</v>
      </c>
      <c r="K35">
        <v>1</v>
      </c>
      <c r="L35">
        <v>12.95</v>
      </c>
      <c r="M35">
        <v>51.8</v>
      </c>
      <c r="N35" t="s">
        <v>6223</v>
      </c>
      <c r="O35" t="s">
        <v>6225</v>
      </c>
    </row>
    <row r="36" spans="1:15" x14ac:dyDescent="0.25">
      <c r="A36" t="s">
        <v>4711</v>
      </c>
      <c r="B36" s="8">
        <v>43501</v>
      </c>
      <c r="C36" t="s">
        <v>4712</v>
      </c>
      <c r="D36" t="s">
        <v>6160</v>
      </c>
      <c r="E36">
        <v>4</v>
      </c>
      <c r="F36" t="s">
        <v>4713</v>
      </c>
      <c r="G36" t="s">
        <v>4714</v>
      </c>
      <c r="H36" t="s">
        <v>318</v>
      </c>
      <c r="I36" t="s">
        <v>6195</v>
      </c>
      <c r="J36" t="s">
        <v>6188</v>
      </c>
      <c r="K36">
        <v>0.2</v>
      </c>
      <c r="L36">
        <v>4.3650000000000002</v>
      </c>
      <c r="M36">
        <v>17.46</v>
      </c>
      <c r="N36" t="s">
        <v>6223</v>
      </c>
      <c r="O36" t="s">
        <v>6226</v>
      </c>
    </row>
    <row r="37" spans="1:15" x14ac:dyDescent="0.25">
      <c r="A37" t="s">
        <v>4647</v>
      </c>
      <c r="B37" s="8">
        <v>43508</v>
      </c>
      <c r="C37" t="s">
        <v>4648</v>
      </c>
      <c r="D37" t="s">
        <v>6143</v>
      </c>
      <c r="E37">
        <v>2</v>
      </c>
      <c r="F37" t="s">
        <v>4649</v>
      </c>
      <c r="G37" t="s">
        <v>4650</v>
      </c>
      <c r="H37" t="s">
        <v>318</v>
      </c>
      <c r="I37" t="s">
        <v>6195</v>
      </c>
      <c r="J37" t="s">
        <v>6187</v>
      </c>
      <c r="K37">
        <v>0.5</v>
      </c>
      <c r="L37">
        <v>7.77</v>
      </c>
      <c r="M37">
        <v>15.54</v>
      </c>
      <c r="N37" t="s">
        <v>6223</v>
      </c>
      <c r="O37" t="s">
        <v>6225</v>
      </c>
    </row>
    <row r="38" spans="1:15" x14ac:dyDescent="0.25">
      <c r="A38" t="s">
        <v>4461</v>
      </c>
      <c r="B38" s="8">
        <v>43506</v>
      </c>
      <c r="C38" t="s">
        <v>4462</v>
      </c>
      <c r="D38" t="s">
        <v>6165</v>
      </c>
      <c r="E38">
        <v>4</v>
      </c>
      <c r="F38" t="s">
        <v>4463</v>
      </c>
      <c r="G38" t="s">
        <v>6228</v>
      </c>
      <c r="H38" t="s">
        <v>318</v>
      </c>
      <c r="I38" t="s">
        <v>6195</v>
      </c>
      <c r="J38" t="s">
        <v>6187</v>
      </c>
      <c r="K38">
        <v>1</v>
      </c>
      <c r="L38">
        <v>12.95</v>
      </c>
      <c r="M38">
        <v>51.8</v>
      </c>
      <c r="N38" t="s">
        <v>6223</v>
      </c>
      <c r="O38" t="s">
        <v>6225</v>
      </c>
    </row>
    <row r="39" spans="1:15" x14ac:dyDescent="0.25">
      <c r="A39" t="s">
        <v>1271</v>
      </c>
      <c r="B39" s="8">
        <v>43509</v>
      </c>
      <c r="C39" t="s">
        <v>1272</v>
      </c>
      <c r="D39" t="s">
        <v>6143</v>
      </c>
      <c r="E39">
        <v>6</v>
      </c>
      <c r="F39" t="s">
        <v>1273</v>
      </c>
      <c r="G39" t="s">
        <v>6228</v>
      </c>
      <c r="H39" t="s">
        <v>19</v>
      </c>
      <c r="I39" t="s">
        <v>6195</v>
      </c>
      <c r="J39" t="s">
        <v>6187</v>
      </c>
      <c r="K39">
        <v>0.5</v>
      </c>
      <c r="L39">
        <v>7.77</v>
      </c>
      <c r="M39">
        <v>46.62</v>
      </c>
      <c r="N39" t="s">
        <v>6223</v>
      </c>
      <c r="O39" t="s">
        <v>6225</v>
      </c>
    </row>
    <row r="40" spans="1:15" x14ac:dyDescent="0.25">
      <c r="A40" t="s">
        <v>2068</v>
      </c>
      <c r="B40" s="8">
        <v>43521</v>
      </c>
      <c r="C40" t="s">
        <v>2069</v>
      </c>
      <c r="D40" t="s">
        <v>6181</v>
      </c>
      <c r="E40">
        <v>1</v>
      </c>
      <c r="F40" t="s">
        <v>2070</v>
      </c>
      <c r="G40" t="s">
        <v>2071</v>
      </c>
      <c r="H40" t="s">
        <v>19</v>
      </c>
      <c r="I40" t="s">
        <v>6195</v>
      </c>
      <c r="J40" t="s">
        <v>6188</v>
      </c>
      <c r="K40">
        <v>1</v>
      </c>
      <c r="L40">
        <v>14.55</v>
      </c>
      <c r="M40">
        <v>14.55</v>
      </c>
      <c r="N40" t="s">
        <v>6223</v>
      </c>
      <c r="O40" t="s">
        <v>6226</v>
      </c>
    </row>
    <row r="41" spans="1:15" x14ac:dyDescent="0.25">
      <c r="A41" t="s">
        <v>833</v>
      </c>
      <c r="B41" s="8">
        <v>43521</v>
      </c>
      <c r="C41" t="s">
        <v>834</v>
      </c>
      <c r="D41" t="s">
        <v>6172</v>
      </c>
      <c r="E41">
        <v>5</v>
      </c>
      <c r="F41" t="s">
        <v>835</v>
      </c>
      <c r="G41" t="s">
        <v>6228</v>
      </c>
      <c r="H41" t="s">
        <v>28</v>
      </c>
      <c r="I41" t="s">
        <v>6192</v>
      </c>
      <c r="J41" t="s">
        <v>6187</v>
      </c>
      <c r="K41">
        <v>0.2</v>
      </c>
      <c r="L41">
        <v>2.6849999999999996</v>
      </c>
      <c r="M41">
        <v>13.424999999999997</v>
      </c>
      <c r="N41" t="s">
        <v>6224</v>
      </c>
      <c r="O41" t="s">
        <v>6225</v>
      </c>
    </row>
    <row r="42" spans="1:15" x14ac:dyDescent="0.25">
      <c r="A42" t="s">
        <v>838</v>
      </c>
      <c r="B42" s="8">
        <v>43505</v>
      </c>
      <c r="C42" t="s">
        <v>839</v>
      </c>
      <c r="D42" t="s">
        <v>6145</v>
      </c>
      <c r="E42">
        <v>5</v>
      </c>
      <c r="F42" t="s">
        <v>840</v>
      </c>
      <c r="G42" t="s">
        <v>6228</v>
      </c>
      <c r="H42" t="s">
        <v>19</v>
      </c>
      <c r="I42" t="s">
        <v>6192</v>
      </c>
      <c r="J42" t="s">
        <v>6187</v>
      </c>
      <c r="K42">
        <v>2.5</v>
      </c>
      <c r="L42">
        <v>20.584999999999997</v>
      </c>
      <c r="M42">
        <v>102.92499999999998</v>
      </c>
      <c r="N42" t="s">
        <v>6224</v>
      </c>
      <c r="O42" t="s">
        <v>6225</v>
      </c>
    </row>
    <row r="43" spans="1:15" x14ac:dyDescent="0.25">
      <c r="A43" t="s">
        <v>4354</v>
      </c>
      <c r="B43" s="8">
        <v>43517</v>
      </c>
      <c r="C43" t="s">
        <v>4355</v>
      </c>
      <c r="D43" t="s">
        <v>6179</v>
      </c>
      <c r="E43">
        <v>6</v>
      </c>
      <c r="F43" t="s">
        <v>4356</v>
      </c>
      <c r="G43" t="s">
        <v>6228</v>
      </c>
      <c r="H43" t="s">
        <v>19</v>
      </c>
      <c r="I43" t="s">
        <v>6192</v>
      </c>
      <c r="J43" t="s">
        <v>6186</v>
      </c>
      <c r="K43">
        <v>0.5</v>
      </c>
      <c r="L43">
        <v>7.169999999999999</v>
      </c>
      <c r="M43">
        <v>43.019999999999996</v>
      </c>
      <c r="N43" t="s">
        <v>6224</v>
      </c>
      <c r="O43" t="s">
        <v>6230</v>
      </c>
    </row>
    <row r="44" spans="1:15" x14ac:dyDescent="0.25">
      <c r="A44" t="s">
        <v>4163</v>
      </c>
      <c r="B44" s="8">
        <v>43507</v>
      </c>
      <c r="C44" t="s">
        <v>4164</v>
      </c>
      <c r="D44" t="s">
        <v>6172</v>
      </c>
      <c r="E44">
        <v>1</v>
      </c>
      <c r="F44" t="s">
        <v>4165</v>
      </c>
      <c r="G44" t="s">
        <v>4166</v>
      </c>
      <c r="H44" t="s">
        <v>19</v>
      </c>
      <c r="I44" t="s">
        <v>6192</v>
      </c>
      <c r="J44" t="s">
        <v>6187</v>
      </c>
      <c r="K44">
        <v>0.2</v>
      </c>
      <c r="L44">
        <v>2.6849999999999996</v>
      </c>
      <c r="M44">
        <v>2.6849999999999996</v>
      </c>
      <c r="N44" t="s">
        <v>6224</v>
      </c>
      <c r="O44" t="s">
        <v>6225</v>
      </c>
    </row>
    <row r="45" spans="1:15" x14ac:dyDescent="0.25">
      <c r="A45" t="s">
        <v>3035</v>
      </c>
      <c r="B45" s="8">
        <v>43518</v>
      </c>
      <c r="C45" t="s">
        <v>3036</v>
      </c>
      <c r="D45" t="s">
        <v>6149</v>
      </c>
      <c r="E45">
        <v>2</v>
      </c>
      <c r="F45" t="s">
        <v>3037</v>
      </c>
      <c r="G45" t="s">
        <v>3038</v>
      </c>
      <c r="H45" t="s">
        <v>19</v>
      </c>
      <c r="I45" t="s">
        <v>6192</v>
      </c>
      <c r="J45" t="s">
        <v>6187</v>
      </c>
      <c r="K45">
        <v>1</v>
      </c>
      <c r="L45">
        <v>8.9499999999999993</v>
      </c>
      <c r="M45">
        <v>17.899999999999999</v>
      </c>
      <c r="N45" t="s">
        <v>6224</v>
      </c>
      <c r="O45" t="s">
        <v>6225</v>
      </c>
    </row>
    <row r="46" spans="1:15" x14ac:dyDescent="0.25">
      <c r="A46" t="s">
        <v>2757</v>
      </c>
      <c r="B46" s="8">
        <v>43502</v>
      </c>
      <c r="C46" t="s">
        <v>2758</v>
      </c>
      <c r="D46" t="s">
        <v>6177</v>
      </c>
      <c r="E46">
        <v>3</v>
      </c>
      <c r="F46" t="s">
        <v>2759</v>
      </c>
      <c r="G46" t="s">
        <v>2760</v>
      </c>
      <c r="H46" t="s">
        <v>19</v>
      </c>
      <c r="I46" t="s">
        <v>6192</v>
      </c>
      <c r="J46" t="s">
        <v>6187</v>
      </c>
      <c r="K46">
        <v>0.5</v>
      </c>
      <c r="L46">
        <v>5.3699999999999992</v>
      </c>
      <c r="M46">
        <v>16.11</v>
      </c>
      <c r="N46" t="s">
        <v>6224</v>
      </c>
      <c r="O46" t="s">
        <v>6225</v>
      </c>
    </row>
    <row r="47" spans="1:15" x14ac:dyDescent="0.25">
      <c r="A47" t="s">
        <v>581</v>
      </c>
      <c r="B47" s="8">
        <v>43544</v>
      </c>
      <c r="C47" t="s">
        <v>582</v>
      </c>
      <c r="D47" t="s">
        <v>6152</v>
      </c>
      <c r="E47">
        <v>6</v>
      </c>
      <c r="F47" t="s">
        <v>583</v>
      </c>
      <c r="G47" t="s">
        <v>584</v>
      </c>
      <c r="H47" t="s">
        <v>19</v>
      </c>
      <c r="I47" t="s">
        <v>6193</v>
      </c>
      <c r="J47" t="s">
        <v>6186</v>
      </c>
      <c r="K47">
        <v>2.5</v>
      </c>
      <c r="L47">
        <v>29.784999999999997</v>
      </c>
      <c r="M47">
        <v>178.70999999999998</v>
      </c>
      <c r="N47" t="s">
        <v>6221</v>
      </c>
      <c r="O47" t="s">
        <v>6230</v>
      </c>
    </row>
    <row r="48" spans="1:15" x14ac:dyDescent="0.25">
      <c r="A48" t="s">
        <v>4881</v>
      </c>
      <c r="B48" s="8">
        <v>43541</v>
      </c>
      <c r="C48" t="s">
        <v>4882</v>
      </c>
      <c r="D48" t="s">
        <v>6182</v>
      </c>
      <c r="E48">
        <v>2</v>
      </c>
      <c r="F48" t="s">
        <v>4883</v>
      </c>
      <c r="G48" t="s">
        <v>4884</v>
      </c>
      <c r="H48" t="s">
        <v>19</v>
      </c>
      <c r="I48" t="s">
        <v>6193</v>
      </c>
      <c r="J48" t="s">
        <v>6186</v>
      </c>
      <c r="K48">
        <v>1</v>
      </c>
      <c r="L48">
        <v>12.95</v>
      </c>
      <c r="M48">
        <v>25.9</v>
      </c>
      <c r="N48" t="s">
        <v>6221</v>
      </c>
      <c r="O48" t="s">
        <v>6230</v>
      </c>
    </row>
    <row r="49" spans="1:15" x14ac:dyDescent="0.25">
      <c r="A49" t="s">
        <v>4234</v>
      </c>
      <c r="B49" s="8">
        <v>43554</v>
      </c>
      <c r="C49" t="s">
        <v>4235</v>
      </c>
      <c r="D49" t="s">
        <v>6155</v>
      </c>
      <c r="E49">
        <v>6</v>
      </c>
      <c r="F49" t="s">
        <v>4236</v>
      </c>
      <c r="G49" t="s">
        <v>4237</v>
      </c>
      <c r="H49" t="s">
        <v>19</v>
      </c>
      <c r="I49" t="s">
        <v>6193</v>
      </c>
      <c r="J49" t="s">
        <v>6188</v>
      </c>
      <c r="K49">
        <v>0.5</v>
      </c>
      <c r="L49">
        <v>6.75</v>
      </c>
      <c r="M49">
        <v>40.5</v>
      </c>
      <c r="N49" t="s">
        <v>6221</v>
      </c>
      <c r="O49" t="s">
        <v>6226</v>
      </c>
    </row>
    <row r="50" spans="1:15" x14ac:dyDescent="0.25">
      <c r="A50" t="s">
        <v>4023</v>
      </c>
      <c r="B50" s="8">
        <v>43526</v>
      </c>
      <c r="C50" t="s">
        <v>4024</v>
      </c>
      <c r="D50" t="s">
        <v>6175</v>
      </c>
      <c r="E50">
        <v>3</v>
      </c>
      <c r="F50" t="s">
        <v>4025</v>
      </c>
      <c r="G50" t="s">
        <v>4026</v>
      </c>
      <c r="H50" t="s">
        <v>19</v>
      </c>
      <c r="I50" t="s">
        <v>6193</v>
      </c>
      <c r="J50" t="s">
        <v>6188</v>
      </c>
      <c r="K50">
        <v>1</v>
      </c>
      <c r="L50">
        <v>11.25</v>
      </c>
      <c r="M50">
        <v>33.75</v>
      </c>
      <c r="N50" t="s">
        <v>6221</v>
      </c>
      <c r="O50" t="s">
        <v>6226</v>
      </c>
    </row>
    <row r="51" spans="1:15" x14ac:dyDescent="0.25">
      <c r="A51" t="s">
        <v>3784</v>
      </c>
      <c r="B51" s="8">
        <v>43538</v>
      </c>
      <c r="C51" t="s">
        <v>3785</v>
      </c>
      <c r="D51" t="s">
        <v>6178</v>
      </c>
      <c r="E51">
        <v>1</v>
      </c>
      <c r="F51" t="s">
        <v>3786</v>
      </c>
      <c r="G51" t="s">
        <v>3787</v>
      </c>
      <c r="H51" t="s">
        <v>19</v>
      </c>
      <c r="I51" t="s">
        <v>6193</v>
      </c>
      <c r="J51" t="s">
        <v>6187</v>
      </c>
      <c r="K51">
        <v>2.5</v>
      </c>
      <c r="L51">
        <v>22.884999999999998</v>
      </c>
      <c r="M51">
        <v>22.884999999999998</v>
      </c>
      <c r="N51" t="s">
        <v>6221</v>
      </c>
      <c r="O51" t="s">
        <v>6225</v>
      </c>
    </row>
    <row r="52" spans="1:15" x14ac:dyDescent="0.25">
      <c r="A52" t="s">
        <v>5748</v>
      </c>
      <c r="B52" s="8">
        <v>43546</v>
      </c>
      <c r="C52" t="s">
        <v>5749</v>
      </c>
      <c r="D52" t="s">
        <v>6183</v>
      </c>
      <c r="E52">
        <v>1</v>
      </c>
      <c r="F52" t="s">
        <v>5750</v>
      </c>
      <c r="G52" t="s">
        <v>5751</v>
      </c>
      <c r="H52" t="s">
        <v>19</v>
      </c>
      <c r="I52" t="s">
        <v>6194</v>
      </c>
      <c r="J52" t="s">
        <v>6187</v>
      </c>
      <c r="K52">
        <v>0.5</v>
      </c>
      <c r="L52">
        <v>7.29</v>
      </c>
      <c r="M52">
        <v>7.29</v>
      </c>
      <c r="N52" t="s">
        <v>6222</v>
      </c>
      <c r="O52" t="s">
        <v>6225</v>
      </c>
    </row>
    <row r="53" spans="1:15" x14ac:dyDescent="0.25">
      <c r="A53" t="s">
        <v>5396</v>
      </c>
      <c r="B53" s="8">
        <v>43526</v>
      </c>
      <c r="C53" t="s">
        <v>5397</v>
      </c>
      <c r="D53" t="s">
        <v>6139</v>
      </c>
      <c r="E53">
        <v>5</v>
      </c>
      <c r="F53" t="s">
        <v>5398</v>
      </c>
      <c r="G53" t="s">
        <v>5399</v>
      </c>
      <c r="H53" t="s">
        <v>19</v>
      </c>
      <c r="I53" t="s">
        <v>6194</v>
      </c>
      <c r="J53" t="s">
        <v>6188</v>
      </c>
      <c r="K53">
        <v>0.2</v>
      </c>
      <c r="L53">
        <v>4.125</v>
      </c>
      <c r="M53">
        <v>20.625</v>
      </c>
      <c r="N53" t="s">
        <v>6222</v>
      </c>
      <c r="O53" t="s">
        <v>6226</v>
      </c>
    </row>
    <row r="54" spans="1:15" x14ac:dyDescent="0.25">
      <c r="A54" t="s">
        <v>1012</v>
      </c>
      <c r="B54" s="8">
        <v>43538</v>
      </c>
      <c r="C54" t="s">
        <v>1013</v>
      </c>
      <c r="D54" t="s">
        <v>6176</v>
      </c>
      <c r="E54">
        <v>4</v>
      </c>
      <c r="F54" t="s">
        <v>1014</v>
      </c>
      <c r="G54" t="s">
        <v>1015</v>
      </c>
      <c r="H54" t="s">
        <v>28</v>
      </c>
      <c r="I54" t="s">
        <v>6194</v>
      </c>
      <c r="J54" t="s">
        <v>6186</v>
      </c>
      <c r="K54">
        <v>0.2</v>
      </c>
      <c r="L54">
        <v>4.4550000000000001</v>
      </c>
      <c r="M54">
        <v>17.82</v>
      </c>
      <c r="N54" t="s">
        <v>6222</v>
      </c>
      <c r="O54" t="s">
        <v>6230</v>
      </c>
    </row>
    <row r="55" spans="1:15" x14ac:dyDescent="0.25">
      <c r="A55" t="s">
        <v>1453</v>
      </c>
      <c r="B55" s="8">
        <v>43544</v>
      </c>
      <c r="C55" t="s">
        <v>1454</v>
      </c>
      <c r="D55" t="s">
        <v>6166</v>
      </c>
      <c r="E55">
        <v>2</v>
      </c>
      <c r="F55" t="s">
        <v>1455</v>
      </c>
      <c r="G55" t="s">
        <v>1456</v>
      </c>
      <c r="H55" t="s">
        <v>19</v>
      </c>
      <c r="I55" t="s">
        <v>6194</v>
      </c>
      <c r="J55" t="s">
        <v>6188</v>
      </c>
      <c r="K55">
        <v>1</v>
      </c>
      <c r="L55">
        <v>13.75</v>
      </c>
      <c r="M55">
        <v>27.5</v>
      </c>
      <c r="N55" t="s">
        <v>6222</v>
      </c>
      <c r="O55" t="s">
        <v>6226</v>
      </c>
    </row>
    <row r="56" spans="1:15" x14ac:dyDescent="0.25">
      <c r="A56" t="s">
        <v>2739</v>
      </c>
      <c r="B56" s="8">
        <v>43539</v>
      </c>
      <c r="C56" t="s">
        <v>2740</v>
      </c>
      <c r="D56" t="s">
        <v>6185</v>
      </c>
      <c r="E56">
        <v>6</v>
      </c>
      <c r="F56" t="s">
        <v>2741</v>
      </c>
      <c r="G56" t="s">
        <v>2742</v>
      </c>
      <c r="H56" t="s">
        <v>28</v>
      </c>
      <c r="I56" t="s">
        <v>6194</v>
      </c>
      <c r="J56" t="s">
        <v>6187</v>
      </c>
      <c r="K56">
        <v>1</v>
      </c>
      <c r="L56">
        <v>12.15</v>
      </c>
      <c r="M56">
        <v>72.900000000000006</v>
      </c>
      <c r="N56" t="s">
        <v>6222</v>
      </c>
      <c r="O56" t="s">
        <v>6225</v>
      </c>
    </row>
    <row r="57" spans="1:15" x14ac:dyDescent="0.25">
      <c r="A57" t="s">
        <v>2408</v>
      </c>
      <c r="B57" s="8">
        <v>43528</v>
      </c>
      <c r="C57" t="s">
        <v>2409</v>
      </c>
      <c r="D57" t="s">
        <v>6144</v>
      </c>
      <c r="E57">
        <v>1</v>
      </c>
      <c r="F57" t="s">
        <v>2410</v>
      </c>
      <c r="G57" t="s">
        <v>2411</v>
      </c>
      <c r="H57" t="s">
        <v>19</v>
      </c>
      <c r="I57" t="s">
        <v>6194</v>
      </c>
      <c r="J57" t="s">
        <v>6187</v>
      </c>
      <c r="K57">
        <v>0.2</v>
      </c>
      <c r="L57">
        <v>3.645</v>
      </c>
      <c r="M57">
        <v>3.645</v>
      </c>
      <c r="N57" t="s">
        <v>6222</v>
      </c>
      <c r="O57" t="s">
        <v>6225</v>
      </c>
    </row>
    <row r="58" spans="1:15" x14ac:dyDescent="0.25">
      <c r="A58" t="s">
        <v>2279</v>
      </c>
      <c r="B58" s="8">
        <v>43526</v>
      </c>
      <c r="C58" t="s">
        <v>2280</v>
      </c>
      <c r="D58" t="s">
        <v>6144</v>
      </c>
      <c r="E58">
        <v>3</v>
      </c>
      <c r="F58" t="s">
        <v>2281</v>
      </c>
      <c r="G58" t="s">
        <v>2282</v>
      </c>
      <c r="H58" t="s">
        <v>19</v>
      </c>
      <c r="I58" t="s">
        <v>6194</v>
      </c>
      <c r="J58" t="s">
        <v>6187</v>
      </c>
      <c r="K58">
        <v>0.2</v>
      </c>
      <c r="L58">
        <v>3.645</v>
      </c>
      <c r="M58">
        <v>10.935</v>
      </c>
      <c r="N58" t="s">
        <v>6222</v>
      </c>
      <c r="O58" t="s">
        <v>6225</v>
      </c>
    </row>
    <row r="59" spans="1:15" x14ac:dyDescent="0.25">
      <c r="A59" t="s">
        <v>5102</v>
      </c>
      <c r="B59" s="8">
        <v>43534</v>
      </c>
      <c r="C59" t="s">
        <v>5103</v>
      </c>
      <c r="D59" t="s">
        <v>6161</v>
      </c>
      <c r="E59">
        <v>4</v>
      </c>
      <c r="F59" t="s">
        <v>5104</v>
      </c>
      <c r="G59" t="s">
        <v>5105</v>
      </c>
      <c r="H59" t="s">
        <v>318</v>
      </c>
      <c r="I59" t="s">
        <v>6195</v>
      </c>
      <c r="J59" t="s">
        <v>6186</v>
      </c>
      <c r="K59">
        <v>0.2</v>
      </c>
      <c r="L59">
        <v>4.7549999999999999</v>
      </c>
      <c r="M59">
        <v>19.02</v>
      </c>
      <c r="N59" t="s">
        <v>6223</v>
      </c>
      <c r="O59" t="s">
        <v>6230</v>
      </c>
    </row>
    <row r="60" spans="1:15" x14ac:dyDescent="0.25">
      <c r="A60" t="s">
        <v>4967</v>
      </c>
      <c r="B60" s="8">
        <v>43545</v>
      </c>
      <c r="C60" t="s">
        <v>4968</v>
      </c>
      <c r="D60" t="s">
        <v>6160</v>
      </c>
      <c r="E60">
        <v>6</v>
      </c>
      <c r="F60" t="s">
        <v>4969</v>
      </c>
      <c r="G60" t="s">
        <v>4970</v>
      </c>
      <c r="H60" t="s">
        <v>28</v>
      </c>
      <c r="I60" t="s">
        <v>6195</v>
      </c>
      <c r="J60" t="s">
        <v>6188</v>
      </c>
      <c r="K60">
        <v>0.2</v>
      </c>
      <c r="L60">
        <v>4.3650000000000002</v>
      </c>
      <c r="M60">
        <v>26.19</v>
      </c>
      <c r="N60" t="s">
        <v>6223</v>
      </c>
      <c r="O60" t="s">
        <v>6226</v>
      </c>
    </row>
    <row r="61" spans="1:15" x14ac:dyDescent="0.25">
      <c r="A61" t="s">
        <v>4483</v>
      </c>
      <c r="B61" s="8">
        <v>43540</v>
      </c>
      <c r="C61" t="s">
        <v>4484</v>
      </c>
      <c r="D61" t="s">
        <v>6143</v>
      </c>
      <c r="E61">
        <v>2</v>
      </c>
      <c r="F61" t="s">
        <v>4485</v>
      </c>
      <c r="G61" t="s">
        <v>6228</v>
      </c>
      <c r="H61" t="s">
        <v>318</v>
      </c>
      <c r="I61" t="s">
        <v>6195</v>
      </c>
      <c r="J61" t="s">
        <v>6187</v>
      </c>
      <c r="K61">
        <v>0.5</v>
      </c>
      <c r="L61">
        <v>7.77</v>
      </c>
      <c r="M61">
        <v>15.54</v>
      </c>
      <c r="N61" t="s">
        <v>6223</v>
      </c>
      <c r="O61" t="s">
        <v>6225</v>
      </c>
    </row>
    <row r="62" spans="1:15" x14ac:dyDescent="0.25">
      <c r="A62" t="s">
        <v>4002</v>
      </c>
      <c r="B62" s="8">
        <v>43527</v>
      </c>
      <c r="C62" t="s">
        <v>4003</v>
      </c>
      <c r="D62" t="s">
        <v>6181</v>
      </c>
      <c r="E62">
        <v>4</v>
      </c>
      <c r="F62" t="s">
        <v>4004</v>
      </c>
      <c r="G62" t="s">
        <v>4005</v>
      </c>
      <c r="H62" t="s">
        <v>19</v>
      </c>
      <c r="I62" t="s">
        <v>6195</v>
      </c>
      <c r="J62" t="s">
        <v>6188</v>
      </c>
      <c r="K62">
        <v>1</v>
      </c>
      <c r="L62">
        <v>14.55</v>
      </c>
      <c r="M62">
        <v>58.2</v>
      </c>
      <c r="N62" t="s">
        <v>6223</v>
      </c>
      <c r="O62" t="s">
        <v>6226</v>
      </c>
    </row>
    <row r="63" spans="1:15" x14ac:dyDescent="0.25">
      <c r="A63" t="s">
        <v>3385</v>
      </c>
      <c r="B63" s="8">
        <v>43535</v>
      </c>
      <c r="C63" t="s">
        <v>3386</v>
      </c>
      <c r="D63" t="s">
        <v>6170</v>
      </c>
      <c r="E63">
        <v>3</v>
      </c>
      <c r="F63" t="s">
        <v>3387</v>
      </c>
      <c r="G63" t="s">
        <v>3388</v>
      </c>
      <c r="H63" t="s">
        <v>19</v>
      </c>
      <c r="I63" t="s">
        <v>6195</v>
      </c>
      <c r="J63" t="s">
        <v>6186</v>
      </c>
      <c r="K63">
        <v>0.5</v>
      </c>
      <c r="L63">
        <v>9.51</v>
      </c>
      <c r="M63">
        <v>28.53</v>
      </c>
      <c r="N63" t="s">
        <v>6223</v>
      </c>
      <c r="O63" t="s">
        <v>6230</v>
      </c>
    </row>
    <row r="64" spans="1:15" x14ac:dyDescent="0.25">
      <c r="A64" t="s">
        <v>2683</v>
      </c>
      <c r="B64" s="8">
        <v>43536</v>
      </c>
      <c r="C64" t="s">
        <v>2684</v>
      </c>
      <c r="D64" t="s">
        <v>6169</v>
      </c>
      <c r="E64">
        <v>3</v>
      </c>
      <c r="F64" t="s">
        <v>2685</v>
      </c>
      <c r="G64" t="s">
        <v>2686</v>
      </c>
      <c r="H64" t="s">
        <v>19</v>
      </c>
      <c r="I64" t="s">
        <v>6195</v>
      </c>
      <c r="J64" t="s">
        <v>6187</v>
      </c>
      <c r="K64">
        <v>0.2</v>
      </c>
      <c r="L64">
        <v>3.8849999999999998</v>
      </c>
      <c r="M64">
        <v>11.654999999999999</v>
      </c>
      <c r="N64" t="s">
        <v>6223</v>
      </c>
      <c r="O64" t="s">
        <v>6225</v>
      </c>
    </row>
    <row r="65" spans="1:15" x14ac:dyDescent="0.25">
      <c r="A65" t="s">
        <v>4985</v>
      </c>
      <c r="B65" s="8">
        <v>43540</v>
      </c>
      <c r="C65" t="s">
        <v>4986</v>
      </c>
      <c r="D65" t="s">
        <v>6173</v>
      </c>
      <c r="E65">
        <v>4</v>
      </c>
      <c r="F65" t="s">
        <v>4987</v>
      </c>
      <c r="G65" t="s">
        <v>4988</v>
      </c>
      <c r="H65" t="s">
        <v>19</v>
      </c>
      <c r="I65" t="s">
        <v>6192</v>
      </c>
      <c r="J65" t="s">
        <v>6186</v>
      </c>
      <c r="K65">
        <v>0.2</v>
      </c>
      <c r="L65">
        <v>3.5849999999999995</v>
      </c>
      <c r="M65">
        <v>14.339999999999998</v>
      </c>
      <c r="N65" t="s">
        <v>6224</v>
      </c>
      <c r="O65" t="s">
        <v>6230</v>
      </c>
    </row>
    <row r="66" spans="1:15" x14ac:dyDescent="0.25">
      <c r="A66" t="s">
        <v>4694</v>
      </c>
      <c r="B66" s="8">
        <v>43539</v>
      </c>
      <c r="C66" t="s">
        <v>4695</v>
      </c>
      <c r="D66" t="s">
        <v>6174</v>
      </c>
      <c r="E66">
        <v>6</v>
      </c>
      <c r="F66" t="s">
        <v>4696</v>
      </c>
      <c r="G66" t="s">
        <v>6228</v>
      </c>
      <c r="H66" t="s">
        <v>19</v>
      </c>
      <c r="I66" t="s">
        <v>6192</v>
      </c>
      <c r="J66" t="s">
        <v>6186</v>
      </c>
      <c r="K66">
        <v>2.5</v>
      </c>
      <c r="L66">
        <v>27.484999999999996</v>
      </c>
      <c r="M66">
        <v>164.90999999999997</v>
      </c>
      <c r="N66" t="s">
        <v>6224</v>
      </c>
      <c r="O66" t="s">
        <v>6230</v>
      </c>
    </row>
    <row r="67" spans="1:15" x14ac:dyDescent="0.25">
      <c r="A67" t="s">
        <v>3521</v>
      </c>
      <c r="B67" s="8">
        <v>43544</v>
      </c>
      <c r="C67" t="s">
        <v>3368</v>
      </c>
      <c r="D67" t="s">
        <v>6163</v>
      </c>
      <c r="E67">
        <v>3</v>
      </c>
      <c r="F67" t="s">
        <v>3369</v>
      </c>
      <c r="G67" t="s">
        <v>3370</v>
      </c>
      <c r="H67" t="e">
        <v>#N/A</v>
      </c>
      <c r="I67" t="s">
        <v>6192</v>
      </c>
      <c r="J67" t="s">
        <v>6188</v>
      </c>
      <c r="K67">
        <v>2.5</v>
      </c>
      <c r="L67">
        <v>22.884999999999998</v>
      </c>
      <c r="M67">
        <v>68.655000000000001</v>
      </c>
      <c r="N67" t="s">
        <v>6224</v>
      </c>
      <c r="O67" t="s">
        <v>6226</v>
      </c>
    </row>
    <row r="68" spans="1:15" x14ac:dyDescent="0.25">
      <c r="A68" t="s">
        <v>2615</v>
      </c>
      <c r="B68" s="8">
        <v>43532</v>
      </c>
      <c r="C68" t="s">
        <v>2616</v>
      </c>
      <c r="D68" t="s">
        <v>6163</v>
      </c>
      <c r="E68">
        <v>3</v>
      </c>
      <c r="F68" t="s">
        <v>2617</v>
      </c>
      <c r="G68" t="s">
        <v>2618</v>
      </c>
      <c r="H68" t="s">
        <v>318</v>
      </c>
      <c r="I68" t="s">
        <v>6192</v>
      </c>
      <c r="J68" t="s">
        <v>6188</v>
      </c>
      <c r="K68">
        <v>2.5</v>
      </c>
      <c r="L68">
        <v>22.884999999999998</v>
      </c>
      <c r="M68">
        <v>68.655000000000001</v>
      </c>
      <c r="N68" t="s">
        <v>6224</v>
      </c>
      <c r="O68" t="s">
        <v>6226</v>
      </c>
    </row>
    <row r="69" spans="1:15" x14ac:dyDescent="0.25">
      <c r="A69" t="s">
        <v>1963</v>
      </c>
      <c r="B69" s="8">
        <v>43538</v>
      </c>
      <c r="C69" t="s">
        <v>1964</v>
      </c>
      <c r="D69" t="s">
        <v>6179</v>
      </c>
      <c r="E69">
        <v>5</v>
      </c>
      <c r="F69" t="s">
        <v>1965</v>
      </c>
      <c r="G69" t="s">
        <v>1966</v>
      </c>
      <c r="H69" t="s">
        <v>19</v>
      </c>
      <c r="I69" t="s">
        <v>6192</v>
      </c>
      <c r="J69" t="s">
        <v>6186</v>
      </c>
      <c r="K69">
        <v>0.5</v>
      </c>
      <c r="L69">
        <v>7.169999999999999</v>
      </c>
      <c r="M69">
        <v>35.849999999999994</v>
      </c>
      <c r="N69" t="s">
        <v>6224</v>
      </c>
      <c r="O69" t="s">
        <v>6230</v>
      </c>
    </row>
    <row r="70" spans="1:15" x14ac:dyDescent="0.25">
      <c r="A70" t="s">
        <v>5890</v>
      </c>
      <c r="B70" s="8">
        <v>43582</v>
      </c>
      <c r="C70" t="s">
        <v>5764</v>
      </c>
      <c r="D70" t="s">
        <v>6167</v>
      </c>
      <c r="E70">
        <v>2</v>
      </c>
      <c r="F70" t="s">
        <v>5765</v>
      </c>
      <c r="G70" t="s">
        <v>6228</v>
      </c>
      <c r="H70" t="e">
        <v>#N/A</v>
      </c>
      <c r="I70" t="s">
        <v>9</v>
      </c>
      <c r="J70" t="s">
        <v>10</v>
      </c>
      <c r="K70" t="s">
        <v>12</v>
      </c>
      <c r="L70" t="s">
        <v>13</v>
      </c>
      <c r="M70" t="e">
        <v>#VALUE!</v>
      </c>
      <c r="N70" t="s">
        <v>6228</v>
      </c>
      <c r="O70" t="s">
        <v>6228</v>
      </c>
    </row>
    <row r="71" spans="1:15" x14ac:dyDescent="0.25">
      <c r="A71" t="s">
        <v>6081</v>
      </c>
      <c r="B71" s="8">
        <v>43560</v>
      </c>
      <c r="C71" t="s">
        <v>6082</v>
      </c>
      <c r="D71" t="s">
        <v>6175</v>
      </c>
      <c r="E71">
        <v>6</v>
      </c>
      <c r="F71" t="s">
        <v>6083</v>
      </c>
      <c r="G71" t="s">
        <v>6228</v>
      </c>
      <c r="H71" t="s">
        <v>19</v>
      </c>
      <c r="I71" t="s">
        <v>6193</v>
      </c>
      <c r="J71" t="s">
        <v>6188</v>
      </c>
      <c r="K71">
        <v>1</v>
      </c>
      <c r="L71">
        <v>11.25</v>
      </c>
      <c r="M71">
        <v>67.5</v>
      </c>
      <c r="N71" t="s">
        <v>6221</v>
      </c>
      <c r="O71" t="s">
        <v>6226</v>
      </c>
    </row>
    <row r="72" spans="1:15" x14ac:dyDescent="0.25">
      <c r="A72" t="s">
        <v>5609</v>
      </c>
      <c r="B72" s="8">
        <v>43560</v>
      </c>
      <c r="C72" t="s">
        <v>5610</v>
      </c>
      <c r="D72" t="s">
        <v>6157</v>
      </c>
      <c r="E72">
        <v>6</v>
      </c>
      <c r="F72" t="s">
        <v>5611</v>
      </c>
      <c r="G72" t="s">
        <v>6228</v>
      </c>
      <c r="H72" t="s">
        <v>19</v>
      </c>
      <c r="I72" t="s">
        <v>6193</v>
      </c>
      <c r="J72" t="s">
        <v>6188</v>
      </c>
      <c r="K72">
        <v>0.2</v>
      </c>
      <c r="L72">
        <v>3.375</v>
      </c>
      <c r="M72">
        <v>20.25</v>
      </c>
      <c r="N72" t="s">
        <v>6221</v>
      </c>
      <c r="O72" t="s">
        <v>6226</v>
      </c>
    </row>
    <row r="73" spans="1:15" x14ac:dyDescent="0.25">
      <c r="A73" t="s">
        <v>942</v>
      </c>
      <c r="B73" s="8">
        <v>43572</v>
      </c>
      <c r="C73" t="s">
        <v>943</v>
      </c>
      <c r="D73" t="s">
        <v>6180</v>
      </c>
      <c r="E73">
        <v>5</v>
      </c>
      <c r="F73" t="s">
        <v>944</v>
      </c>
      <c r="G73" t="s">
        <v>945</v>
      </c>
      <c r="H73" t="s">
        <v>19</v>
      </c>
      <c r="I73" t="s">
        <v>6193</v>
      </c>
      <c r="J73" t="s">
        <v>6186</v>
      </c>
      <c r="K73">
        <v>0.2</v>
      </c>
      <c r="L73">
        <v>3.8849999999999998</v>
      </c>
      <c r="M73">
        <v>19.424999999999997</v>
      </c>
      <c r="N73" t="s">
        <v>6221</v>
      </c>
      <c r="O73" t="s">
        <v>6230</v>
      </c>
    </row>
    <row r="74" spans="1:15" x14ac:dyDescent="0.25">
      <c r="A74" t="s">
        <v>4377</v>
      </c>
      <c r="B74" s="8">
        <v>43579</v>
      </c>
      <c r="C74" t="s">
        <v>4378</v>
      </c>
      <c r="D74" t="s">
        <v>6140</v>
      </c>
      <c r="E74">
        <v>5</v>
      </c>
      <c r="F74" t="s">
        <v>4379</v>
      </c>
      <c r="G74" t="s">
        <v>4380</v>
      </c>
      <c r="H74" t="s">
        <v>318</v>
      </c>
      <c r="I74" t="s">
        <v>6193</v>
      </c>
      <c r="J74" t="s">
        <v>6186</v>
      </c>
      <c r="K74">
        <v>0.5</v>
      </c>
      <c r="L74">
        <v>7.77</v>
      </c>
      <c r="M74">
        <v>38.849999999999994</v>
      </c>
      <c r="N74" t="s">
        <v>6221</v>
      </c>
      <c r="O74" t="s">
        <v>6230</v>
      </c>
    </row>
    <row r="75" spans="1:15" x14ac:dyDescent="0.25">
      <c r="A75" t="s">
        <v>2888</v>
      </c>
      <c r="B75" s="8">
        <v>43556</v>
      </c>
      <c r="C75" t="s">
        <v>2889</v>
      </c>
      <c r="D75" t="s">
        <v>6178</v>
      </c>
      <c r="E75">
        <v>4</v>
      </c>
      <c r="F75" t="s">
        <v>2890</v>
      </c>
      <c r="G75" t="s">
        <v>2891</v>
      </c>
      <c r="H75" t="s">
        <v>318</v>
      </c>
      <c r="I75" t="s">
        <v>6193</v>
      </c>
      <c r="J75" t="s">
        <v>6187</v>
      </c>
      <c r="K75">
        <v>2.5</v>
      </c>
      <c r="L75">
        <v>22.884999999999998</v>
      </c>
      <c r="M75">
        <v>91.539999999999992</v>
      </c>
      <c r="N75" t="s">
        <v>6221</v>
      </c>
      <c r="O75" t="s">
        <v>6225</v>
      </c>
    </row>
    <row r="76" spans="1:15" x14ac:dyDescent="0.25">
      <c r="A76" t="s">
        <v>2515</v>
      </c>
      <c r="B76" s="8">
        <v>43563</v>
      </c>
      <c r="C76" t="s">
        <v>2516</v>
      </c>
      <c r="D76" t="s">
        <v>6178</v>
      </c>
      <c r="E76">
        <v>6</v>
      </c>
      <c r="F76" t="s">
        <v>2517</v>
      </c>
      <c r="G76" t="s">
        <v>2518</v>
      </c>
      <c r="H76" t="s">
        <v>28</v>
      </c>
      <c r="I76" t="s">
        <v>6193</v>
      </c>
      <c r="J76" t="s">
        <v>6187</v>
      </c>
      <c r="K76">
        <v>2.5</v>
      </c>
      <c r="L76">
        <v>22.884999999999998</v>
      </c>
      <c r="M76">
        <v>137.31</v>
      </c>
      <c r="N76" t="s">
        <v>6221</v>
      </c>
      <c r="O76" t="s">
        <v>6225</v>
      </c>
    </row>
    <row r="77" spans="1:15" x14ac:dyDescent="0.25">
      <c r="A77" t="s">
        <v>5890</v>
      </c>
      <c r="B77" s="8">
        <v>43582</v>
      </c>
      <c r="C77" t="s">
        <v>5764</v>
      </c>
      <c r="D77" t="s">
        <v>6171</v>
      </c>
      <c r="E77">
        <v>1</v>
      </c>
      <c r="F77" t="s">
        <v>5765</v>
      </c>
      <c r="G77" t="s">
        <v>6228</v>
      </c>
      <c r="H77" t="e">
        <v>#N/A</v>
      </c>
      <c r="I77" t="s">
        <v>6194</v>
      </c>
      <c r="J77" t="s">
        <v>6186</v>
      </c>
      <c r="K77">
        <v>0.5</v>
      </c>
      <c r="L77">
        <v>8.91</v>
      </c>
      <c r="M77">
        <v>8.91</v>
      </c>
      <c r="N77" t="s">
        <v>6222</v>
      </c>
      <c r="O77" t="s">
        <v>6230</v>
      </c>
    </row>
    <row r="78" spans="1:15" x14ac:dyDescent="0.25">
      <c r="A78" t="s">
        <v>5890</v>
      </c>
      <c r="B78" s="8">
        <v>43582</v>
      </c>
      <c r="C78" t="s">
        <v>5764</v>
      </c>
      <c r="D78" t="s">
        <v>6148</v>
      </c>
      <c r="E78">
        <v>5</v>
      </c>
      <c r="F78" t="s">
        <v>5765</v>
      </c>
      <c r="G78" t="s">
        <v>6228</v>
      </c>
      <c r="H78" t="e">
        <v>#N/A</v>
      </c>
      <c r="I78" t="s">
        <v>6194</v>
      </c>
      <c r="J78" t="s">
        <v>6186</v>
      </c>
      <c r="K78">
        <v>1</v>
      </c>
      <c r="L78">
        <v>14.85</v>
      </c>
      <c r="M78">
        <v>74.25</v>
      </c>
      <c r="N78" t="s">
        <v>6222</v>
      </c>
      <c r="O78" t="s">
        <v>6230</v>
      </c>
    </row>
    <row r="79" spans="1:15" x14ac:dyDescent="0.25">
      <c r="A79" t="s">
        <v>5135</v>
      </c>
      <c r="B79" s="8">
        <v>43585</v>
      </c>
      <c r="C79" t="s">
        <v>5136</v>
      </c>
      <c r="D79" t="s">
        <v>6148</v>
      </c>
      <c r="E79">
        <v>4</v>
      </c>
      <c r="F79" t="s">
        <v>5137</v>
      </c>
      <c r="G79" t="s">
        <v>5138</v>
      </c>
      <c r="H79" t="s">
        <v>19</v>
      </c>
      <c r="I79" t="s">
        <v>6194</v>
      </c>
      <c r="J79" t="s">
        <v>6186</v>
      </c>
      <c r="K79">
        <v>1</v>
      </c>
      <c r="L79">
        <v>14.85</v>
      </c>
      <c r="M79">
        <v>59.4</v>
      </c>
      <c r="N79" t="s">
        <v>6222</v>
      </c>
      <c r="O79" t="s">
        <v>6230</v>
      </c>
    </row>
    <row r="80" spans="1:15" x14ac:dyDescent="0.25">
      <c r="A80" t="s">
        <v>2974</v>
      </c>
      <c r="B80" s="8">
        <v>43573</v>
      </c>
      <c r="C80" t="s">
        <v>2975</v>
      </c>
      <c r="D80" t="s">
        <v>6183</v>
      </c>
      <c r="E80">
        <v>3</v>
      </c>
      <c r="F80" t="s">
        <v>2976</v>
      </c>
      <c r="G80" t="s">
        <v>2977</v>
      </c>
      <c r="H80" t="s">
        <v>318</v>
      </c>
      <c r="I80" t="s">
        <v>6194</v>
      </c>
      <c r="J80" t="s">
        <v>6187</v>
      </c>
      <c r="K80">
        <v>0.5</v>
      </c>
      <c r="L80">
        <v>7.29</v>
      </c>
      <c r="M80">
        <v>21.87</v>
      </c>
      <c r="N80" t="s">
        <v>6222</v>
      </c>
      <c r="O80" t="s">
        <v>6225</v>
      </c>
    </row>
    <row r="81" spans="1:15" x14ac:dyDescent="0.25">
      <c r="A81" t="s">
        <v>2962</v>
      </c>
      <c r="B81" s="8">
        <v>43562</v>
      </c>
      <c r="C81" t="s">
        <v>2963</v>
      </c>
      <c r="D81" t="s">
        <v>6176</v>
      </c>
      <c r="E81">
        <v>4</v>
      </c>
      <c r="F81" t="s">
        <v>2964</v>
      </c>
      <c r="G81" t="s">
        <v>2965</v>
      </c>
      <c r="H81" t="s">
        <v>318</v>
      </c>
      <c r="I81" t="s">
        <v>6194</v>
      </c>
      <c r="J81" t="s">
        <v>6186</v>
      </c>
      <c r="K81">
        <v>0.2</v>
      </c>
      <c r="L81">
        <v>4.4550000000000001</v>
      </c>
      <c r="M81">
        <v>17.82</v>
      </c>
      <c r="N81" t="s">
        <v>6222</v>
      </c>
      <c r="O81" t="s">
        <v>6230</v>
      </c>
    </row>
    <row r="82" spans="1:15" x14ac:dyDescent="0.25">
      <c r="A82" t="s">
        <v>2543</v>
      </c>
      <c r="B82" s="8">
        <v>43582</v>
      </c>
      <c r="C82" t="s">
        <v>2544</v>
      </c>
      <c r="D82" t="s">
        <v>6183</v>
      </c>
      <c r="E82">
        <v>6</v>
      </c>
      <c r="F82" t="s">
        <v>2545</v>
      </c>
      <c r="G82" t="s">
        <v>2546</v>
      </c>
      <c r="H82" t="s">
        <v>19</v>
      </c>
      <c r="I82" t="s">
        <v>6194</v>
      </c>
      <c r="J82" t="s">
        <v>6187</v>
      </c>
      <c r="K82">
        <v>0.5</v>
      </c>
      <c r="L82">
        <v>7.29</v>
      </c>
      <c r="M82">
        <v>43.74</v>
      </c>
      <c r="N82" t="s">
        <v>6222</v>
      </c>
      <c r="O82" t="s">
        <v>6225</v>
      </c>
    </row>
    <row r="83" spans="1:15" x14ac:dyDescent="0.25">
      <c r="A83" t="s">
        <v>2175</v>
      </c>
      <c r="B83" s="8">
        <v>43582</v>
      </c>
      <c r="C83" t="s">
        <v>2176</v>
      </c>
      <c r="D83" t="s">
        <v>6148</v>
      </c>
      <c r="E83">
        <v>6</v>
      </c>
      <c r="F83" t="s">
        <v>2177</v>
      </c>
      <c r="G83" t="s">
        <v>2178</v>
      </c>
      <c r="H83" t="s">
        <v>19</v>
      </c>
      <c r="I83" t="s">
        <v>6194</v>
      </c>
      <c r="J83" t="s">
        <v>6186</v>
      </c>
      <c r="K83">
        <v>1</v>
      </c>
      <c r="L83">
        <v>14.85</v>
      </c>
      <c r="M83">
        <v>89.1</v>
      </c>
      <c r="N83" t="s">
        <v>6222</v>
      </c>
      <c r="O83" t="s">
        <v>6230</v>
      </c>
    </row>
    <row r="84" spans="1:15" x14ac:dyDescent="0.25">
      <c r="A84" t="s">
        <v>699</v>
      </c>
      <c r="B84" s="8">
        <v>43580</v>
      </c>
      <c r="C84" t="s">
        <v>700</v>
      </c>
      <c r="D84" t="s">
        <v>6161</v>
      </c>
      <c r="E84">
        <v>3</v>
      </c>
      <c r="F84" t="s">
        <v>701</v>
      </c>
      <c r="G84" t="s">
        <v>702</v>
      </c>
      <c r="H84" t="s">
        <v>19</v>
      </c>
      <c r="I84" t="s">
        <v>6195</v>
      </c>
      <c r="J84" t="s">
        <v>6186</v>
      </c>
      <c r="K84">
        <v>0.2</v>
      </c>
      <c r="L84">
        <v>4.7549999999999999</v>
      </c>
      <c r="M84">
        <v>14.265000000000001</v>
      </c>
      <c r="N84" t="s">
        <v>6223</v>
      </c>
      <c r="O84" t="s">
        <v>6230</v>
      </c>
    </row>
    <row r="85" spans="1:15" x14ac:dyDescent="0.25">
      <c r="A85" t="s">
        <v>5090</v>
      </c>
      <c r="B85" s="8">
        <v>43573</v>
      </c>
      <c r="C85" t="s">
        <v>5091</v>
      </c>
      <c r="D85" t="s">
        <v>6184</v>
      </c>
      <c r="E85">
        <v>2</v>
      </c>
      <c r="F85" t="s">
        <v>5092</v>
      </c>
      <c r="G85" t="s">
        <v>5093</v>
      </c>
      <c r="H85" t="s">
        <v>19</v>
      </c>
      <c r="I85" t="s">
        <v>6195</v>
      </c>
      <c r="J85" t="s">
        <v>6187</v>
      </c>
      <c r="K85">
        <v>2.5</v>
      </c>
      <c r="L85">
        <v>29.784999999999997</v>
      </c>
      <c r="M85">
        <v>59.569999999999993</v>
      </c>
      <c r="N85" t="s">
        <v>6223</v>
      </c>
      <c r="O85" t="s">
        <v>6225</v>
      </c>
    </row>
    <row r="86" spans="1:15" x14ac:dyDescent="0.25">
      <c r="A86" t="s">
        <v>4797</v>
      </c>
      <c r="B86" s="8">
        <v>43563</v>
      </c>
      <c r="C86" t="s">
        <v>4798</v>
      </c>
      <c r="D86" t="s">
        <v>6160</v>
      </c>
      <c r="E86">
        <v>5</v>
      </c>
      <c r="F86" t="s">
        <v>4799</v>
      </c>
      <c r="G86" t="s">
        <v>4800</v>
      </c>
      <c r="H86" t="s">
        <v>28</v>
      </c>
      <c r="I86" t="s">
        <v>6195</v>
      </c>
      <c r="J86" t="s">
        <v>6188</v>
      </c>
      <c r="K86">
        <v>0.2</v>
      </c>
      <c r="L86">
        <v>4.3650000000000002</v>
      </c>
      <c r="M86">
        <v>21.825000000000003</v>
      </c>
      <c r="N86" t="s">
        <v>6223</v>
      </c>
      <c r="O86" t="s">
        <v>6226</v>
      </c>
    </row>
    <row r="87" spans="1:15" x14ac:dyDescent="0.25">
      <c r="A87" t="s">
        <v>4676</v>
      </c>
      <c r="B87" s="8">
        <v>43566</v>
      </c>
      <c r="C87" t="s">
        <v>4677</v>
      </c>
      <c r="D87" t="s">
        <v>6159</v>
      </c>
      <c r="E87">
        <v>2</v>
      </c>
      <c r="F87" t="s">
        <v>4678</v>
      </c>
      <c r="G87" t="s">
        <v>4679</v>
      </c>
      <c r="H87" t="s">
        <v>19</v>
      </c>
      <c r="I87" t="s">
        <v>6195</v>
      </c>
      <c r="J87" t="s">
        <v>6186</v>
      </c>
      <c r="K87">
        <v>2.5</v>
      </c>
      <c r="L87">
        <v>36.454999999999998</v>
      </c>
      <c r="M87">
        <v>72.91</v>
      </c>
      <c r="N87" t="s">
        <v>6223</v>
      </c>
      <c r="O87" t="s">
        <v>6230</v>
      </c>
    </row>
    <row r="88" spans="1:15" x14ac:dyDescent="0.25">
      <c r="A88" t="s">
        <v>1123</v>
      </c>
      <c r="B88" s="8">
        <v>43556</v>
      </c>
      <c r="C88" t="s">
        <v>1124</v>
      </c>
      <c r="D88" t="s">
        <v>6162</v>
      </c>
      <c r="E88">
        <v>1</v>
      </c>
      <c r="F88" t="s">
        <v>1125</v>
      </c>
      <c r="G88" t="s">
        <v>1126</v>
      </c>
      <c r="H88" t="s">
        <v>318</v>
      </c>
      <c r="I88" t="s">
        <v>6195</v>
      </c>
      <c r="J88" t="s">
        <v>6188</v>
      </c>
      <c r="K88">
        <v>0.5</v>
      </c>
      <c r="L88">
        <v>8.73</v>
      </c>
      <c r="M88">
        <v>8.73</v>
      </c>
      <c r="N88" t="s">
        <v>6223</v>
      </c>
      <c r="O88" t="s">
        <v>6226</v>
      </c>
    </row>
    <row r="89" spans="1:15" x14ac:dyDescent="0.25">
      <c r="A89" t="s">
        <v>1186</v>
      </c>
      <c r="B89" s="8">
        <v>43582</v>
      </c>
      <c r="C89" t="s">
        <v>1187</v>
      </c>
      <c r="D89" t="s">
        <v>6159</v>
      </c>
      <c r="E89">
        <v>5</v>
      </c>
      <c r="F89" t="s">
        <v>1188</v>
      </c>
      <c r="G89" t="s">
        <v>1189</v>
      </c>
      <c r="H89" t="s">
        <v>19</v>
      </c>
      <c r="I89" t="s">
        <v>6195</v>
      </c>
      <c r="J89" t="s">
        <v>6186</v>
      </c>
      <c r="K89">
        <v>2.5</v>
      </c>
      <c r="L89">
        <v>36.454999999999998</v>
      </c>
      <c r="M89">
        <v>182.27499999999998</v>
      </c>
      <c r="N89" t="s">
        <v>6223</v>
      </c>
      <c r="O89" t="s">
        <v>6230</v>
      </c>
    </row>
    <row r="90" spans="1:15" x14ac:dyDescent="0.25">
      <c r="A90" t="s">
        <v>1305</v>
      </c>
      <c r="B90" s="8">
        <v>43562</v>
      </c>
      <c r="C90" t="s">
        <v>1306</v>
      </c>
      <c r="D90" t="s">
        <v>6159</v>
      </c>
      <c r="E90">
        <v>4</v>
      </c>
      <c r="F90" t="s">
        <v>1307</v>
      </c>
      <c r="G90" t="s">
        <v>1308</v>
      </c>
      <c r="H90" t="s">
        <v>19</v>
      </c>
      <c r="I90" t="s">
        <v>6195</v>
      </c>
      <c r="J90" t="s">
        <v>6186</v>
      </c>
      <c r="K90">
        <v>2.5</v>
      </c>
      <c r="L90">
        <v>36.454999999999998</v>
      </c>
      <c r="M90">
        <v>145.82</v>
      </c>
      <c r="N90" t="s">
        <v>6223</v>
      </c>
      <c r="O90" t="s">
        <v>6230</v>
      </c>
    </row>
    <row r="91" spans="1:15" x14ac:dyDescent="0.25">
      <c r="A91" t="s">
        <v>3542</v>
      </c>
      <c r="B91" s="8">
        <v>43584</v>
      </c>
      <c r="C91" t="s">
        <v>3543</v>
      </c>
      <c r="D91" t="s">
        <v>6170</v>
      </c>
      <c r="E91">
        <v>4</v>
      </c>
      <c r="F91" t="s">
        <v>3544</v>
      </c>
      <c r="G91" t="s">
        <v>3545</v>
      </c>
      <c r="H91" t="s">
        <v>19</v>
      </c>
      <c r="I91" t="s">
        <v>6195</v>
      </c>
      <c r="J91" t="s">
        <v>6186</v>
      </c>
      <c r="K91">
        <v>0.5</v>
      </c>
      <c r="L91">
        <v>9.51</v>
      </c>
      <c r="M91">
        <v>38.04</v>
      </c>
      <c r="N91" t="s">
        <v>6223</v>
      </c>
      <c r="O91" t="s">
        <v>6230</v>
      </c>
    </row>
    <row r="92" spans="1:15" x14ac:dyDescent="0.25">
      <c r="A92" t="s">
        <v>1567</v>
      </c>
      <c r="B92" s="8">
        <v>43567</v>
      </c>
      <c r="C92" t="s">
        <v>1568</v>
      </c>
      <c r="D92" t="s">
        <v>6150</v>
      </c>
      <c r="E92">
        <v>5</v>
      </c>
      <c r="F92" t="s">
        <v>1569</v>
      </c>
      <c r="G92" t="s">
        <v>1570</v>
      </c>
      <c r="H92" t="s">
        <v>19</v>
      </c>
      <c r="I92" t="s">
        <v>6195</v>
      </c>
      <c r="J92" t="s">
        <v>6188</v>
      </c>
      <c r="K92">
        <v>2.5</v>
      </c>
      <c r="L92">
        <v>33.464999999999996</v>
      </c>
      <c r="M92">
        <v>167.32499999999999</v>
      </c>
      <c r="N92" t="s">
        <v>6223</v>
      </c>
      <c r="O92" t="s">
        <v>6226</v>
      </c>
    </row>
    <row r="93" spans="1:15" x14ac:dyDescent="0.25">
      <c r="A93" t="s">
        <v>1818</v>
      </c>
      <c r="B93" s="8">
        <v>43571</v>
      </c>
      <c r="C93" t="s">
        <v>1819</v>
      </c>
      <c r="D93" t="s">
        <v>6164</v>
      </c>
      <c r="E93">
        <v>5</v>
      </c>
      <c r="F93" t="s">
        <v>1820</v>
      </c>
      <c r="G93" t="s">
        <v>6228</v>
      </c>
      <c r="H93" t="s">
        <v>318</v>
      </c>
      <c r="I93" t="s">
        <v>6195</v>
      </c>
      <c r="J93" t="s">
        <v>6186</v>
      </c>
      <c r="K93">
        <v>1</v>
      </c>
      <c r="L93">
        <v>15.85</v>
      </c>
      <c r="M93">
        <v>79.25</v>
      </c>
      <c r="N93" t="s">
        <v>6223</v>
      </c>
      <c r="O93" t="s">
        <v>6230</v>
      </c>
    </row>
    <row r="94" spans="1:15" x14ac:dyDescent="0.25">
      <c r="A94" t="s">
        <v>1975</v>
      </c>
      <c r="B94" s="8">
        <v>43577</v>
      </c>
      <c r="C94" t="s">
        <v>1976</v>
      </c>
      <c r="D94" t="s">
        <v>6181</v>
      </c>
      <c r="E94">
        <v>4</v>
      </c>
      <c r="F94" t="s">
        <v>1977</v>
      </c>
      <c r="G94" t="s">
        <v>6228</v>
      </c>
      <c r="H94" t="s">
        <v>19</v>
      </c>
      <c r="I94" t="s">
        <v>6195</v>
      </c>
      <c r="J94" t="s">
        <v>6188</v>
      </c>
      <c r="K94">
        <v>1</v>
      </c>
      <c r="L94">
        <v>14.55</v>
      </c>
      <c r="M94">
        <v>58.2</v>
      </c>
      <c r="N94" t="s">
        <v>6223</v>
      </c>
      <c r="O94" t="s">
        <v>6226</v>
      </c>
    </row>
    <row r="95" spans="1:15" x14ac:dyDescent="0.25">
      <c r="A95" t="s">
        <v>5995</v>
      </c>
      <c r="B95" s="8">
        <v>43556</v>
      </c>
      <c r="C95" t="s">
        <v>5996</v>
      </c>
      <c r="D95" t="s">
        <v>6172</v>
      </c>
      <c r="E95">
        <v>1</v>
      </c>
      <c r="F95" t="s">
        <v>5997</v>
      </c>
      <c r="G95" t="s">
        <v>5998</v>
      </c>
      <c r="H95" t="s">
        <v>19</v>
      </c>
      <c r="I95" t="s">
        <v>6192</v>
      </c>
      <c r="J95" t="s">
        <v>6187</v>
      </c>
      <c r="K95">
        <v>0.2</v>
      </c>
      <c r="L95">
        <v>2.6849999999999996</v>
      </c>
      <c r="M95">
        <v>2.6849999999999996</v>
      </c>
      <c r="N95" t="s">
        <v>6224</v>
      </c>
      <c r="O95" t="s">
        <v>6225</v>
      </c>
    </row>
    <row r="96" spans="1:15" x14ac:dyDescent="0.25">
      <c r="A96" t="s">
        <v>5890</v>
      </c>
      <c r="B96" s="8">
        <v>43582</v>
      </c>
      <c r="C96" t="s">
        <v>5764</v>
      </c>
      <c r="D96" t="s">
        <v>6142</v>
      </c>
      <c r="E96">
        <v>2</v>
      </c>
      <c r="F96" t="s">
        <v>5765</v>
      </c>
      <c r="G96" t="s">
        <v>6228</v>
      </c>
      <c r="H96" t="e">
        <v>#N/A</v>
      </c>
      <c r="I96" t="s">
        <v>6192</v>
      </c>
      <c r="J96" t="s">
        <v>6186</v>
      </c>
      <c r="K96">
        <v>1</v>
      </c>
      <c r="L96">
        <v>11.95</v>
      </c>
      <c r="M96">
        <v>23.9</v>
      </c>
      <c r="N96" t="s">
        <v>6224</v>
      </c>
      <c r="O96" t="s">
        <v>6230</v>
      </c>
    </row>
    <row r="97" spans="1:15" x14ac:dyDescent="0.25">
      <c r="A97" t="s">
        <v>1089</v>
      </c>
      <c r="B97" s="8">
        <v>43569</v>
      </c>
      <c r="C97" t="s">
        <v>1090</v>
      </c>
      <c r="D97" t="s">
        <v>6146</v>
      </c>
      <c r="E97">
        <v>3</v>
      </c>
      <c r="F97" t="s">
        <v>1091</v>
      </c>
      <c r="G97" t="s">
        <v>1092</v>
      </c>
      <c r="H97" t="s">
        <v>19</v>
      </c>
      <c r="I97" t="s">
        <v>6192</v>
      </c>
      <c r="J97" t="s">
        <v>6188</v>
      </c>
      <c r="K97">
        <v>0.2</v>
      </c>
      <c r="L97">
        <v>2.9849999999999999</v>
      </c>
      <c r="M97">
        <v>8.9550000000000001</v>
      </c>
      <c r="N97" t="s">
        <v>6224</v>
      </c>
      <c r="O97" t="s">
        <v>6226</v>
      </c>
    </row>
    <row r="98" spans="1:15" x14ac:dyDescent="0.25">
      <c r="A98" t="s">
        <v>2335</v>
      </c>
      <c r="B98" s="8">
        <v>43579</v>
      </c>
      <c r="C98" t="s">
        <v>2336</v>
      </c>
      <c r="D98" t="s">
        <v>6177</v>
      </c>
      <c r="E98">
        <v>5</v>
      </c>
      <c r="F98" t="s">
        <v>2337</v>
      </c>
      <c r="G98" t="s">
        <v>2338</v>
      </c>
      <c r="H98" t="s">
        <v>19</v>
      </c>
      <c r="I98" t="s">
        <v>6192</v>
      </c>
      <c r="J98" t="s">
        <v>6187</v>
      </c>
      <c r="K98">
        <v>0.5</v>
      </c>
      <c r="L98">
        <v>5.3699999999999992</v>
      </c>
      <c r="M98">
        <v>26.849999999999994</v>
      </c>
      <c r="N98" t="s">
        <v>6224</v>
      </c>
      <c r="O98" t="s">
        <v>6225</v>
      </c>
    </row>
    <row r="99" spans="1:15" x14ac:dyDescent="0.25">
      <c r="A99" t="s">
        <v>2509</v>
      </c>
      <c r="B99" s="8">
        <v>43599</v>
      </c>
      <c r="C99" t="s">
        <v>2510</v>
      </c>
      <c r="D99" t="s">
        <v>6182</v>
      </c>
      <c r="E99">
        <v>1</v>
      </c>
      <c r="F99" t="s">
        <v>2511</v>
      </c>
      <c r="G99" t="s">
        <v>2512</v>
      </c>
      <c r="H99" t="s">
        <v>19</v>
      </c>
      <c r="I99" t="s">
        <v>6193</v>
      </c>
      <c r="J99" t="s">
        <v>6186</v>
      </c>
      <c r="K99">
        <v>1</v>
      </c>
      <c r="L99">
        <v>12.95</v>
      </c>
      <c r="M99">
        <v>12.95</v>
      </c>
      <c r="N99" t="s">
        <v>6221</v>
      </c>
      <c r="O99" t="s">
        <v>6230</v>
      </c>
    </row>
    <row r="100" spans="1:15" x14ac:dyDescent="0.25">
      <c r="A100" t="s">
        <v>2464</v>
      </c>
      <c r="B100" s="8">
        <v>43592</v>
      </c>
      <c r="C100" t="s">
        <v>2465</v>
      </c>
      <c r="D100" t="s">
        <v>6158</v>
      </c>
      <c r="E100">
        <v>4</v>
      </c>
      <c r="F100" t="s">
        <v>2466</v>
      </c>
      <c r="G100" t="s">
        <v>2467</v>
      </c>
      <c r="H100" t="s">
        <v>19</v>
      </c>
      <c r="I100" t="s">
        <v>6193</v>
      </c>
      <c r="J100" t="s">
        <v>6187</v>
      </c>
      <c r="K100">
        <v>0.2</v>
      </c>
      <c r="L100">
        <v>2.9849999999999999</v>
      </c>
      <c r="M100">
        <v>11.94</v>
      </c>
      <c r="N100" t="s">
        <v>6221</v>
      </c>
      <c r="O100" t="s">
        <v>6225</v>
      </c>
    </row>
    <row r="101" spans="1:15" x14ac:dyDescent="0.25">
      <c r="A101" t="s">
        <v>924</v>
      </c>
      <c r="B101" s="8">
        <v>43594</v>
      </c>
      <c r="C101" t="s">
        <v>925</v>
      </c>
      <c r="D101" t="s">
        <v>6153</v>
      </c>
      <c r="E101">
        <v>2</v>
      </c>
      <c r="F101" t="s">
        <v>926</v>
      </c>
      <c r="G101" t="s">
        <v>927</v>
      </c>
      <c r="H101" t="s">
        <v>19</v>
      </c>
      <c r="I101" t="s">
        <v>6194</v>
      </c>
      <c r="J101" t="s">
        <v>6188</v>
      </c>
      <c r="K101">
        <v>2.5</v>
      </c>
      <c r="L101">
        <v>31.624999999999996</v>
      </c>
      <c r="M101">
        <v>63.249999999999993</v>
      </c>
      <c r="N101" t="s">
        <v>6222</v>
      </c>
      <c r="O101" t="s">
        <v>6226</v>
      </c>
    </row>
    <row r="102" spans="1:15" x14ac:dyDescent="0.25">
      <c r="A102" t="s">
        <v>2650</v>
      </c>
      <c r="B102" s="8">
        <v>43586</v>
      </c>
      <c r="C102" t="s">
        <v>2651</v>
      </c>
      <c r="D102" t="s">
        <v>6176</v>
      </c>
      <c r="E102">
        <v>6</v>
      </c>
      <c r="F102" t="s">
        <v>2652</v>
      </c>
      <c r="G102" t="s">
        <v>6228</v>
      </c>
      <c r="H102" t="s">
        <v>19</v>
      </c>
      <c r="I102" t="s">
        <v>6194</v>
      </c>
      <c r="J102" t="s">
        <v>6186</v>
      </c>
      <c r="K102">
        <v>0.2</v>
      </c>
      <c r="L102">
        <v>4.4550000000000001</v>
      </c>
      <c r="M102">
        <v>26.73</v>
      </c>
      <c r="N102" t="s">
        <v>6222</v>
      </c>
      <c r="O102" t="s">
        <v>6230</v>
      </c>
    </row>
    <row r="103" spans="1:15" x14ac:dyDescent="0.25">
      <c r="A103" t="s">
        <v>778</v>
      </c>
      <c r="B103" s="8">
        <v>43600</v>
      </c>
      <c r="C103" t="s">
        <v>779</v>
      </c>
      <c r="D103" t="s">
        <v>6164</v>
      </c>
      <c r="E103">
        <v>4</v>
      </c>
      <c r="F103" t="s">
        <v>780</v>
      </c>
      <c r="G103" t="s">
        <v>781</v>
      </c>
      <c r="H103" t="s">
        <v>318</v>
      </c>
      <c r="I103" t="s">
        <v>6195</v>
      </c>
      <c r="J103" t="s">
        <v>6186</v>
      </c>
      <c r="K103">
        <v>1</v>
      </c>
      <c r="L103">
        <v>15.85</v>
      </c>
      <c r="M103">
        <v>63.4</v>
      </c>
      <c r="N103" t="s">
        <v>6223</v>
      </c>
      <c r="O103" t="s">
        <v>6230</v>
      </c>
    </row>
    <row r="104" spans="1:15" x14ac:dyDescent="0.25">
      <c r="A104" t="s">
        <v>4274</v>
      </c>
      <c r="B104" s="8">
        <v>43606</v>
      </c>
      <c r="C104" t="s">
        <v>4275</v>
      </c>
      <c r="D104" t="s">
        <v>6159</v>
      </c>
      <c r="E104">
        <v>3</v>
      </c>
      <c r="F104" t="s">
        <v>4276</v>
      </c>
      <c r="G104" t="s">
        <v>4277</v>
      </c>
      <c r="H104" t="s">
        <v>19</v>
      </c>
      <c r="I104" t="s">
        <v>6195</v>
      </c>
      <c r="J104" t="s">
        <v>6186</v>
      </c>
      <c r="K104">
        <v>2.5</v>
      </c>
      <c r="L104">
        <v>36.454999999999998</v>
      </c>
      <c r="M104">
        <v>109.36499999999999</v>
      </c>
      <c r="N104" t="s">
        <v>6223</v>
      </c>
      <c r="O104" t="s">
        <v>6230</v>
      </c>
    </row>
    <row r="105" spans="1:15" x14ac:dyDescent="0.25">
      <c r="A105" t="s">
        <v>1192</v>
      </c>
      <c r="B105" s="8">
        <v>43608</v>
      </c>
      <c r="C105" t="s">
        <v>1193</v>
      </c>
      <c r="D105" t="s">
        <v>6160</v>
      </c>
      <c r="E105">
        <v>3</v>
      </c>
      <c r="F105" t="s">
        <v>1194</v>
      </c>
      <c r="G105" t="s">
        <v>1195</v>
      </c>
      <c r="H105" t="s">
        <v>318</v>
      </c>
      <c r="I105" t="s">
        <v>6195</v>
      </c>
      <c r="J105" t="s">
        <v>6188</v>
      </c>
      <c r="K105">
        <v>0.2</v>
      </c>
      <c r="L105">
        <v>4.3650000000000002</v>
      </c>
      <c r="M105">
        <v>13.095000000000001</v>
      </c>
      <c r="N105" t="s">
        <v>6223</v>
      </c>
      <c r="O105" t="s">
        <v>6226</v>
      </c>
    </row>
    <row r="106" spans="1:15" x14ac:dyDescent="0.25">
      <c r="A106" t="s">
        <v>3889</v>
      </c>
      <c r="B106" s="8">
        <v>43603</v>
      </c>
      <c r="C106" t="s">
        <v>3890</v>
      </c>
      <c r="D106" t="s">
        <v>6184</v>
      </c>
      <c r="E106">
        <v>5</v>
      </c>
      <c r="F106" t="s">
        <v>3891</v>
      </c>
      <c r="G106" t="s">
        <v>3892</v>
      </c>
      <c r="H106" t="s">
        <v>19</v>
      </c>
      <c r="I106" t="s">
        <v>6195</v>
      </c>
      <c r="J106" t="s">
        <v>6187</v>
      </c>
      <c r="K106">
        <v>2.5</v>
      </c>
      <c r="L106">
        <v>29.784999999999997</v>
      </c>
      <c r="M106">
        <v>148.92499999999998</v>
      </c>
      <c r="N106" t="s">
        <v>6223</v>
      </c>
      <c r="O106" t="s">
        <v>6225</v>
      </c>
    </row>
    <row r="107" spans="1:15" x14ac:dyDescent="0.25">
      <c r="A107" t="s">
        <v>2751</v>
      </c>
      <c r="B107" s="8">
        <v>43591</v>
      </c>
      <c r="C107" t="s">
        <v>2752</v>
      </c>
      <c r="D107" t="s">
        <v>6159</v>
      </c>
      <c r="E107">
        <v>2</v>
      </c>
      <c r="F107" t="s">
        <v>2753</v>
      </c>
      <c r="G107" t="s">
        <v>2754</v>
      </c>
      <c r="H107" t="s">
        <v>19</v>
      </c>
      <c r="I107" t="s">
        <v>6195</v>
      </c>
      <c r="J107" t="s">
        <v>6186</v>
      </c>
      <c r="K107">
        <v>2.5</v>
      </c>
      <c r="L107">
        <v>36.454999999999998</v>
      </c>
      <c r="M107">
        <v>72.91</v>
      </c>
      <c r="N107" t="s">
        <v>6223</v>
      </c>
      <c r="O107" t="s">
        <v>6230</v>
      </c>
    </row>
    <row r="108" spans="1:15" x14ac:dyDescent="0.25">
      <c r="A108" t="s">
        <v>726</v>
      </c>
      <c r="B108" s="8">
        <v>43607</v>
      </c>
      <c r="C108" t="s">
        <v>727</v>
      </c>
      <c r="D108" t="s">
        <v>6163</v>
      </c>
      <c r="E108">
        <v>3</v>
      </c>
      <c r="F108" t="s">
        <v>728</v>
      </c>
      <c r="G108" t="s">
        <v>729</v>
      </c>
      <c r="H108" t="s">
        <v>19</v>
      </c>
      <c r="I108" t="s">
        <v>6192</v>
      </c>
      <c r="J108" t="s">
        <v>6188</v>
      </c>
      <c r="K108">
        <v>2.5</v>
      </c>
      <c r="L108">
        <v>22.884999999999998</v>
      </c>
      <c r="M108">
        <v>68.655000000000001</v>
      </c>
      <c r="N108" t="s">
        <v>6224</v>
      </c>
      <c r="O108" t="s">
        <v>6226</v>
      </c>
    </row>
    <row r="109" spans="1:15" x14ac:dyDescent="0.25">
      <c r="A109" t="s">
        <v>3829</v>
      </c>
      <c r="B109" s="8">
        <v>43587</v>
      </c>
      <c r="C109" t="s">
        <v>3830</v>
      </c>
      <c r="D109" t="s">
        <v>6163</v>
      </c>
      <c r="E109">
        <v>3</v>
      </c>
      <c r="F109" t="s">
        <v>3831</v>
      </c>
      <c r="G109" t="s">
        <v>3832</v>
      </c>
      <c r="H109" t="s">
        <v>19</v>
      </c>
      <c r="I109" t="s">
        <v>6192</v>
      </c>
      <c r="J109" t="s">
        <v>6188</v>
      </c>
      <c r="K109">
        <v>2.5</v>
      </c>
      <c r="L109">
        <v>22.884999999999998</v>
      </c>
      <c r="M109">
        <v>68.655000000000001</v>
      </c>
      <c r="N109" t="s">
        <v>6224</v>
      </c>
      <c r="O109" t="s">
        <v>6226</v>
      </c>
    </row>
    <row r="110" spans="1:15" x14ac:dyDescent="0.25">
      <c r="A110" t="s">
        <v>3088</v>
      </c>
      <c r="B110" s="8">
        <v>43602</v>
      </c>
      <c r="C110" t="s">
        <v>3089</v>
      </c>
      <c r="D110" t="s">
        <v>6172</v>
      </c>
      <c r="E110">
        <v>3</v>
      </c>
      <c r="F110" t="s">
        <v>3090</v>
      </c>
      <c r="G110" t="s">
        <v>3091</v>
      </c>
      <c r="H110" t="s">
        <v>318</v>
      </c>
      <c r="I110" t="s">
        <v>6192</v>
      </c>
      <c r="J110" t="s">
        <v>6187</v>
      </c>
      <c r="K110">
        <v>0.2</v>
      </c>
      <c r="L110">
        <v>2.6849999999999996</v>
      </c>
      <c r="M110">
        <v>8.0549999999999997</v>
      </c>
      <c r="N110" t="s">
        <v>6224</v>
      </c>
      <c r="O110" t="s">
        <v>6225</v>
      </c>
    </row>
    <row r="111" spans="1:15" x14ac:dyDescent="0.25">
      <c r="A111" t="s">
        <v>2157</v>
      </c>
      <c r="B111" s="8">
        <v>43597</v>
      </c>
      <c r="C111" t="s">
        <v>2158</v>
      </c>
      <c r="D111" t="s">
        <v>6146</v>
      </c>
      <c r="E111">
        <v>6</v>
      </c>
      <c r="F111" t="s">
        <v>2159</v>
      </c>
      <c r="G111" t="s">
        <v>2160</v>
      </c>
      <c r="H111" t="s">
        <v>19</v>
      </c>
      <c r="I111" t="s">
        <v>6192</v>
      </c>
      <c r="J111" t="s">
        <v>6188</v>
      </c>
      <c r="K111">
        <v>0.2</v>
      </c>
      <c r="L111">
        <v>2.9849999999999999</v>
      </c>
      <c r="M111">
        <v>17.91</v>
      </c>
      <c r="N111" t="s">
        <v>6224</v>
      </c>
      <c r="O111" t="s">
        <v>6226</v>
      </c>
    </row>
    <row r="112" spans="1:15" x14ac:dyDescent="0.25">
      <c r="A112" t="s">
        <v>755</v>
      </c>
      <c r="B112" s="8">
        <v>43644</v>
      </c>
      <c r="C112" t="s">
        <v>756</v>
      </c>
      <c r="D112" t="s">
        <v>6167</v>
      </c>
      <c r="E112">
        <v>2</v>
      </c>
      <c r="F112" t="s">
        <v>757</v>
      </c>
      <c r="G112" t="s">
        <v>758</v>
      </c>
      <c r="H112" t="s">
        <v>19</v>
      </c>
      <c r="I112" t="s">
        <v>9</v>
      </c>
      <c r="J112" t="s">
        <v>10</v>
      </c>
      <c r="K112" t="s">
        <v>12</v>
      </c>
      <c r="L112" t="s">
        <v>13</v>
      </c>
      <c r="M112" t="e">
        <v>#VALUE!</v>
      </c>
      <c r="N112" t="s">
        <v>6228</v>
      </c>
      <c r="O112" t="s">
        <v>6228</v>
      </c>
    </row>
    <row r="113" spans="1:15" x14ac:dyDescent="0.25">
      <c r="A113" t="s">
        <v>4973</v>
      </c>
      <c r="B113" s="8">
        <v>43629</v>
      </c>
      <c r="C113" t="s">
        <v>4974</v>
      </c>
      <c r="D113" t="s">
        <v>6178</v>
      </c>
      <c r="E113">
        <v>5</v>
      </c>
      <c r="F113" t="s">
        <v>4975</v>
      </c>
      <c r="G113" t="s">
        <v>4976</v>
      </c>
      <c r="H113" t="s">
        <v>19</v>
      </c>
      <c r="I113" t="s">
        <v>6193</v>
      </c>
      <c r="J113" t="s">
        <v>6187</v>
      </c>
      <c r="K113">
        <v>2.5</v>
      </c>
      <c r="L113">
        <v>22.884999999999998</v>
      </c>
      <c r="M113">
        <v>114.42499999999998</v>
      </c>
      <c r="N113" t="s">
        <v>6221</v>
      </c>
      <c r="O113" t="s">
        <v>6225</v>
      </c>
    </row>
    <row r="114" spans="1:15" x14ac:dyDescent="0.25">
      <c r="A114" t="s">
        <v>1361</v>
      </c>
      <c r="B114" s="8">
        <v>43640</v>
      </c>
      <c r="C114" t="s">
        <v>1362</v>
      </c>
      <c r="D114" t="s">
        <v>6175</v>
      </c>
      <c r="E114">
        <v>6</v>
      </c>
      <c r="F114" t="s">
        <v>1363</v>
      </c>
      <c r="G114" t="s">
        <v>1364</v>
      </c>
      <c r="H114" t="s">
        <v>19</v>
      </c>
      <c r="I114" t="s">
        <v>6193</v>
      </c>
      <c r="J114" t="s">
        <v>6188</v>
      </c>
      <c r="K114">
        <v>1</v>
      </c>
      <c r="L114">
        <v>11.25</v>
      </c>
      <c r="M114">
        <v>67.5</v>
      </c>
      <c r="N114" t="s">
        <v>6221</v>
      </c>
      <c r="O114" t="s">
        <v>6226</v>
      </c>
    </row>
    <row r="115" spans="1:15" x14ac:dyDescent="0.25">
      <c r="A115" t="s">
        <v>5591</v>
      </c>
      <c r="B115" s="8">
        <v>43640</v>
      </c>
      <c r="C115" t="s">
        <v>5592</v>
      </c>
      <c r="D115" t="s">
        <v>6166</v>
      </c>
      <c r="E115">
        <v>5</v>
      </c>
      <c r="F115" t="s">
        <v>5593</v>
      </c>
      <c r="G115" t="s">
        <v>5594</v>
      </c>
      <c r="H115" t="s">
        <v>19</v>
      </c>
      <c r="I115" t="s">
        <v>6194</v>
      </c>
      <c r="J115" t="s">
        <v>6188</v>
      </c>
      <c r="K115">
        <v>1</v>
      </c>
      <c r="L115">
        <v>13.75</v>
      </c>
      <c r="M115">
        <v>68.75</v>
      </c>
      <c r="N115" t="s">
        <v>6222</v>
      </c>
      <c r="O115" t="s">
        <v>6226</v>
      </c>
    </row>
    <row r="116" spans="1:15" x14ac:dyDescent="0.25">
      <c r="A116" t="s">
        <v>5537</v>
      </c>
      <c r="B116" s="8">
        <v>43635</v>
      </c>
      <c r="C116" t="s">
        <v>5538</v>
      </c>
      <c r="D116" t="s">
        <v>6156</v>
      </c>
      <c r="E116">
        <v>5</v>
      </c>
      <c r="F116" t="s">
        <v>5539</v>
      </c>
      <c r="G116" t="s">
        <v>5540</v>
      </c>
      <c r="H116" t="s">
        <v>28</v>
      </c>
      <c r="I116" t="s">
        <v>6194</v>
      </c>
      <c r="J116" t="s">
        <v>6186</v>
      </c>
      <c r="K116">
        <v>2.5</v>
      </c>
      <c r="L116">
        <v>34.154999999999994</v>
      </c>
      <c r="M116">
        <v>170.77499999999998</v>
      </c>
      <c r="N116" t="s">
        <v>6222</v>
      </c>
      <c r="O116" t="s">
        <v>6230</v>
      </c>
    </row>
    <row r="117" spans="1:15" x14ac:dyDescent="0.25">
      <c r="A117" t="s">
        <v>5461</v>
      </c>
      <c r="B117" s="8">
        <v>43630</v>
      </c>
      <c r="C117" t="s">
        <v>5462</v>
      </c>
      <c r="D117" t="s">
        <v>6153</v>
      </c>
      <c r="E117">
        <v>3</v>
      </c>
      <c r="F117" t="s">
        <v>5463</v>
      </c>
      <c r="G117" t="s">
        <v>6228</v>
      </c>
      <c r="H117" t="s">
        <v>19</v>
      </c>
      <c r="I117" t="s">
        <v>6194</v>
      </c>
      <c r="J117" t="s">
        <v>6188</v>
      </c>
      <c r="K117">
        <v>2.5</v>
      </c>
      <c r="L117">
        <v>31.624999999999996</v>
      </c>
      <c r="M117">
        <v>94.874999999999986</v>
      </c>
      <c r="N117" t="s">
        <v>6222</v>
      </c>
      <c r="O117" t="s">
        <v>6226</v>
      </c>
    </row>
    <row r="118" spans="1:15" x14ac:dyDescent="0.25">
      <c r="A118" t="s">
        <v>885</v>
      </c>
      <c r="B118" s="8">
        <v>43646</v>
      </c>
      <c r="C118" t="s">
        <v>886</v>
      </c>
      <c r="D118" t="s">
        <v>6148</v>
      </c>
      <c r="E118">
        <v>4</v>
      </c>
      <c r="F118" t="s">
        <v>887</v>
      </c>
      <c r="G118" t="s">
        <v>888</v>
      </c>
      <c r="H118" t="s">
        <v>19</v>
      </c>
      <c r="I118" t="s">
        <v>6194</v>
      </c>
      <c r="J118" t="s">
        <v>6186</v>
      </c>
      <c r="K118">
        <v>1</v>
      </c>
      <c r="L118">
        <v>14.85</v>
      </c>
      <c r="M118">
        <v>59.4</v>
      </c>
      <c r="N118" t="s">
        <v>6222</v>
      </c>
      <c r="O118" t="s">
        <v>6230</v>
      </c>
    </row>
    <row r="119" spans="1:15" x14ac:dyDescent="0.25">
      <c r="A119" t="s">
        <v>4512</v>
      </c>
      <c r="B119" s="8">
        <v>43646</v>
      </c>
      <c r="C119" t="s">
        <v>4513</v>
      </c>
      <c r="D119" t="s">
        <v>6139</v>
      </c>
      <c r="E119">
        <v>2</v>
      </c>
      <c r="F119" t="s">
        <v>4514</v>
      </c>
      <c r="G119" t="s">
        <v>6228</v>
      </c>
      <c r="H119" t="s">
        <v>28</v>
      </c>
      <c r="I119" t="s">
        <v>6194</v>
      </c>
      <c r="J119" t="s">
        <v>6188</v>
      </c>
      <c r="K119">
        <v>0.2</v>
      </c>
      <c r="L119">
        <v>4.125</v>
      </c>
      <c r="M119">
        <v>8.25</v>
      </c>
      <c r="N119" t="s">
        <v>6222</v>
      </c>
      <c r="O119" t="s">
        <v>6226</v>
      </c>
    </row>
    <row r="120" spans="1:15" x14ac:dyDescent="0.25">
      <c r="A120" t="s">
        <v>3193</v>
      </c>
      <c r="B120" s="8">
        <v>43624</v>
      </c>
      <c r="C120" t="s">
        <v>3194</v>
      </c>
      <c r="D120" t="s">
        <v>6156</v>
      </c>
      <c r="E120">
        <v>1</v>
      </c>
      <c r="F120" t="s">
        <v>3195</v>
      </c>
      <c r="G120" t="s">
        <v>3196</v>
      </c>
      <c r="H120" t="e">
        <v>#N/A</v>
      </c>
      <c r="I120" t="s">
        <v>6194</v>
      </c>
      <c r="J120" t="s">
        <v>6186</v>
      </c>
      <c r="K120">
        <v>2.5</v>
      </c>
      <c r="L120">
        <v>34.154999999999994</v>
      </c>
      <c r="M120">
        <v>34.154999999999994</v>
      </c>
      <c r="N120" t="s">
        <v>6222</v>
      </c>
      <c r="O120" t="s">
        <v>6230</v>
      </c>
    </row>
    <row r="121" spans="1:15" x14ac:dyDescent="0.25">
      <c r="A121" t="s">
        <v>3193</v>
      </c>
      <c r="B121" s="8">
        <v>43624</v>
      </c>
      <c r="C121" t="s">
        <v>3194</v>
      </c>
      <c r="D121" t="s">
        <v>6166</v>
      </c>
      <c r="E121">
        <v>4</v>
      </c>
      <c r="F121" t="s">
        <v>3195</v>
      </c>
      <c r="G121" t="s">
        <v>3196</v>
      </c>
      <c r="H121" t="s">
        <v>19</v>
      </c>
      <c r="I121" t="s">
        <v>6194</v>
      </c>
      <c r="J121" t="s">
        <v>6188</v>
      </c>
      <c r="K121">
        <v>1</v>
      </c>
      <c r="L121">
        <v>13.75</v>
      </c>
      <c r="M121">
        <v>55</v>
      </c>
      <c r="N121" t="s">
        <v>6222</v>
      </c>
      <c r="O121" t="s">
        <v>6226</v>
      </c>
    </row>
    <row r="122" spans="1:15" x14ac:dyDescent="0.25">
      <c r="A122" t="s">
        <v>2273</v>
      </c>
      <c r="B122" s="8">
        <v>43641</v>
      </c>
      <c r="C122" t="s">
        <v>2274</v>
      </c>
      <c r="D122" t="s">
        <v>6148</v>
      </c>
      <c r="E122">
        <v>6</v>
      </c>
      <c r="F122" t="s">
        <v>2275</v>
      </c>
      <c r="G122" t="s">
        <v>2276</v>
      </c>
      <c r="H122" t="s">
        <v>318</v>
      </c>
      <c r="I122" t="s">
        <v>6194</v>
      </c>
      <c r="J122" t="s">
        <v>6186</v>
      </c>
      <c r="K122">
        <v>1</v>
      </c>
      <c r="L122">
        <v>14.85</v>
      </c>
      <c r="M122">
        <v>89.1</v>
      </c>
      <c r="N122" t="s">
        <v>6222</v>
      </c>
      <c r="O122" t="s">
        <v>6230</v>
      </c>
    </row>
    <row r="123" spans="1:15" x14ac:dyDescent="0.25">
      <c r="A123" t="s">
        <v>5339</v>
      </c>
      <c r="B123" s="8">
        <v>43638</v>
      </c>
      <c r="C123" t="s">
        <v>5340</v>
      </c>
      <c r="D123" t="s">
        <v>6160</v>
      </c>
      <c r="E123">
        <v>4</v>
      </c>
      <c r="F123" t="s">
        <v>5341</v>
      </c>
      <c r="G123" t="s">
        <v>5342</v>
      </c>
      <c r="H123" t="s">
        <v>19</v>
      </c>
      <c r="I123" t="s">
        <v>6195</v>
      </c>
      <c r="J123" t="s">
        <v>6188</v>
      </c>
      <c r="K123">
        <v>0.2</v>
      </c>
      <c r="L123">
        <v>4.3650000000000002</v>
      </c>
      <c r="M123">
        <v>17.46</v>
      </c>
      <c r="N123" t="s">
        <v>6223</v>
      </c>
      <c r="O123" t="s">
        <v>6226</v>
      </c>
    </row>
    <row r="124" spans="1:15" x14ac:dyDescent="0.25">
      <c r="A124" t="s">
        <v>5321</v>
      </c>
      <c r="B124" s="8">
        <v>43632</v>
      </c>
      <c r="C124" t="s">
        <v>5322</v>
      </c>
      <c r="D124" t="s">
        <v>6165</v>
      </c>
      <c r="E124">
        <v>3</v>
      </c>
      <c r="F124" t="s">
        <v>5323</v>
      </c>
      <c r="G124" t="s">
        <v>5324</v>
      </c>
      <c r="H124" t="s">
        <v>19</v>
      </c>
      <c r="I124" t="s">
        <v>6195</v>
      </c>
      <c r="J124" t="s">
        <v>6187</v>
      </c>
      <c r="K124">
        <v>1</v>
      </c>
      <c r="L124">
        <v>12.95</v>
      </c>
      <c r="M124">
        <v>38.849999999999994</v>
      </c>
      <c r="N124" t="s">
        <v>6223</v>
      </c>
      <c r="O124" t="s">
        <v>6225</v>
      </c>
    </row>
    <row r="125" spans="1:15" x14ac:dyDescent="0.25">
      <c r="A125" t="s">
        <v>1795</v>
      </c>
      <c r="B125" s="8">
        <v>43628</v>
      </c>
      <c r="C125" t="s">
        <v>1796</v>
      </c>
      <c r="D125" t="s">
        <v>6159</v>
      </c>
      <c r="E125">
        <v>2</v>
      </c>
      <c r="F125" t="s">
        <v>1797</v>
      </c>
      <c r="G125" t="s">
        <v>6228</v>
      </c>
      <c r="H125" t="s">
        <v>19</v>
      </c>
      <c r="I125" t="s">
        <v>6195</v>
      </c>
      <c r="J125" t="s">
        <v>6186</v>
      </c>
      <c r="K125">
        <v>2.5</v>
      </c>
      <c r="L125">
        <v>36.454999999999998</v>
      </c>
      <c r="M125">
        <v>72.91</v>
      </c>
      <c r="N125" t="s">
        <v>6223</v>
      </c>
      <c r="O125" t="s">
        <v>6230</v>
      </c>
    </row>
    <row r="126" spans="1:15" x14ac:dyDescent="0.25">
      <c r="A126" t="s">
        <v>2341</v>
      </c>
      <c r="B126" s="8">
        <v>43620</v>
      </c>
      <c r="C126" t="s">
        <v>2342</v>
      </c>
      <c r="D126" t="s">
        <v>6161</v>
      </c>
      <c r="E126">
        <v>4</v>
      </c>
      <c r="F126" t="s">
        <v>2343</v>
      </c>
      <c r="G126" t="s">
        <v>6228</v>
      </c>
      <c r="H126" t="s">
        <v>19</v>
      </c>
      <c r="I126" t="s">
        <v>6195</v>
      </c>
      <c r="J126" t="s">
        <v>6186</v>
      </c>
      <c r="K126">
        <v>0.2</v>
      </c>
      <c r="L126">
        <v>4.7549999999999999</v>
      </c>
      <c r="M126">
        <v>19.02</v>
      </c>
      <c r="N126" t="s">
        <v>6223</v>
      </c>
      <c r="O126" t="s">
        <v>6230</v>
      </c>
    </row>
    <row r="127" spans="1:15" x14ac:dyDescent="0.25">
      <c r="A127" t="s">
        <v>6007</v>
      </c>
      <c r="B127" s="8">
        <v>43643</v>
      </c>
      <c r="C127" t="s">
        <v>6008</v>
      </c>
      <c r="D127" t="s">
        <v>6142</v>
      </c>
      <c r="E127">
        <v>5</v>
      </c>
      <c r="F127" t="s">
        <v>6009</v>
      </c>
      <c r="G127" t="s">
        <v>6010</v>
      </c>
      <c r="H127" t="s">
        <v>19</v>
      </c>
      <c r="I127" t="s">
        <v>6192</v>
      </c>
      <c r="J127" t="s">
        <v>6186</v>
      </c>
      <c r="K127">
        <v>1</v>
      </c>
      <c r="L127">
        <v>11.95</v>
      </c>
      <c r="M127">
        <v>59.75</v>
      </c>
      <c r="N127" t="s">
        <v>6224</v>
      </c>
      <c r="O127" t="s">
        <v>6230</v>
      </c>
    </row>
    <row r="128" spans="1:15" x14ac:dyDescent="0.25">
      <c r="A128" t="s">
        <v>593</v>
      </c>
      <c r="B128" s="8">
        <v>43629</v>
      </c>
      <c r="C128" t="s">
        <v>594</v>
      </c>
      <c r="D128" t="s">
        <v>6149</v>
      </c>
      <c r="E128">
        <v>4</v>
      </c>
      <c r="F128" t="s">
        <v>595</v>
      </c>
      <c r="G128" t="s">
        <v>596</v>
      </c>
      <c r="H128" t="s">
        <v>318</v>
      </c>
      <c r="I128" t="s">
        <v>6192</v>
      </c>
      <c r="J128" t="s">
        <v>6187</v>
      </c>
      <c r="K128">
        <v>1</v>
      </c>
      <c r="L128">
        <v>8.9499999999999993</v>
      </c>
      <c r="M128">
        <v>35.799999999999997</v>
      </c>
      <c r="N128" t="s">
        <v>6224</v>
      </c>
      <c r="O128" t="s">
        <v>6225</v>
      </c>
    </row>
    <row r="129" spans="1:15" x14ac:dyDescent="0.25">
      <c r="A129" t="s">
        <v>5519</v>
      </c>
      <c r="B129" s="8">
        <v>43633</v>
      </c>
      <c r="C129" t="s">
        <v>5520</v>
      </c>
      <c r="D129" t="s">
        <v>6163</v>
      </c>
      <c r="E129">
        <v>1</v>
      </c>
      <c r="F129" t="s">
        <v>5521</v>
      </c>
      <c r="G129" t="s">
        <v>5522</v>
      </c>
      <c r="H129" t="s">
        <v>19</v>
      </c>
      <c r="I129" t="s">
        <v>6192</v>
      </c>
      <c r="J129" t="s">
        <v>6188</v>
      </c>
      <c r="K129">
        <v>2.5</v>
      </c>
      <c r="L129">
        <v>22.884999999999998</v>
      </c>
      <c r="M129">
        <v>22.884999999999998</v>
      </c>
      <c r="N129" t="s">
        <v>6224</v>
      </c>
      <c r="O129" t="s">
        <v>6226</v>
      </c>
    </row>
    <row r="130" spans="1:15" x14ac:dyDescent="0.25">
      <c r="A130" t="s">
        <v>1112</v>
      </c>
      <c r="B130" s="8">
        <v>43642</v>
      </c>
      <c r="C130" t="s">
        <v>1113</v>
      </c>
      <c r="D130" t="s">
        <v>6172</v>
      </c>
      <c r="E130">
        <v>5</v>
      </c>
      <c r="F130" t="s">
        <v>1114</v>
      </c>
      <c r="G130" t="s">
        <v>1115</v>
      </c>
      <c r="H130" t="s">
        <v>19</v>
      </c>
      <c r="I130" t="s">
        <v>6192</v>
      </c>
      <c r="J130" t="s">
        <v>6187</v>
      </c>
      <c r="K130">
        <v>0.2</v>
      </c>
      <c r="L130">
        <v>2.6849999999999996</v>
      </c>
      <c r="M130">
        <v>13.424999999999997</v>
      </c>
      <c r="N130" t="s">
        <v>6224</v>
      </c>
      <c r="O130" t="s">
        <v>6225</v>
      </c>
    </row>
    <row r="131" spans="1:15" x14ac:dyDescent="0.25">
      <c r="A131" t="s">
        <v>3441</v>
      </c>
      <c r="B131" s="8">
        <v>43625</v>
      </c>
      <c r="C131" t="s">
        <v>3442</v>
      </c>
      <c r="D131" t="s">
        <v>6146</v>
      </c>
      <c r="E131">
        <v>5</v>
      </c>
      <c r="F131" t="s">
        <v>3443</v>
      </c>
      <c r="G131" t="s">
        <v>3444</v>
      </c>
      <c r="H131" t="s">
        <v>19</v>
      </c>
      <c r="I131" t="s">
        <v>6192</v>
      </c>
      <c r="J131" t="s">
        <v>6188</v>
      </c>
      <c r="K131">
        <v>0.2</v>
      </c>
      <c r="L131">
        <v>2.9849999999999999</v>
      </c>
      <c r="M131">
        <v>14.924999999999999</v>
      </c>
      <c r="N131" t="s">
        <v>6224</v>
      </c>
      <c r="O131" t="s">
        <v>6226</v>
      </c>
    </row>
    <row r="132" spans="1:15" x14ac:dyDescent="0.25">
      <c r="A132" t="s">
        <v>1407</v>
      </c>
      <c r="B132" s="8">
        <v>43619</v>
      </c>
      <c r="C132" t="s">
        <v>1408</v>
      </c>
      <c r="D132" t="s">
        <v>6163</v>
      </c>
      <c r="E132">
        <v>6</v>
      </c>
      <c r="F132" t="s">
        <v>1409</v>
      </c>
      <c r="G132" t="s">
        <v>1410</v>
      </c>
      <c r="H132" t="s">
        <v>19</v>
      </c>
      <c r="I132" t="s">
        <v>6192</v>
      </c>
      <c r="J132" t="s">
        <v>6188</v>
      </c>
      <c r="K132">
        <v>2.5</v>
      </c>
      <c r="L132">
        <v>22.884999999999998</v>
      </c>
      <c r="M132">
        <v>137.31</v>
      </c>
      <c r="N132" t="s">
        <v>6224</v>
      </c>
      <c r="O132" t="s">
        <v>6226</v>
      </c>
    </row>
    <row r="133" spans="1:15" x14ac:dyDescent="0.25">
      <c r="A133" t="s">
        <v>3193</v>
      </c>
      <c r="B133" s="8">
        <v>43624</v>
      </c>
      <c r="C133" t="s">
        <v>3194</v>
      </c>
      <c r="D133" t="s">
        <v>6177</v>
      </c>
      <c r="E133">
        <v>6</v>
      </c>
      <c r="F133" t="s">
        <v>3195</v>
      </c>
      <c r="G133" t="s">
        <v>3196</v>
      </c>
      <c r="H133" t="s">
        <v>19</v>
      </c>
      <c r="I133" t="s">
        <v>6192</v>
      </c>
      <c r="J133" t="s">
        <v>6187</v>
      </c>
      <c r="K133">
        <v>0.5</v>
      </c>
      <c r="L133">
        <v>5.3699999999999992</v>
      </c>
      <c r="M133">
        <v>32.22</v>
      </c>
      <c r="N133" t="s">
        <v>6224</v>
      </c>
      <c r="O133" t="s">
        <v>6225</v>
      </c>
    </row>
    <row r="134" spans="1:15" x14ac:dyDescent="0.25">
      <c r="A134" t="s">
        <v>2091</v>
      </c>
      <c r="B134" s="8">
        <v>43639</v>
      </c>
      <c r="C134" t="s">
        <v>2092</v>
      </c>
      <c r="D134" t="s">
        <v>6172</v>
      </c>
      <c r="E134">
        <v>1</v>
      </c>
      <c r="F134" t="s">
        <v>2093</v>
      </c>
      <c r="G134" t="s">
        <v>2094</v>
      </c>
      <c r="H134" t="s">
        <v>28</v>
      </c>
      <c r="I134" t="s">
        <v>6192</v>
      </c>
      <c r="J134" t="s">
        <v>6187</v>
      </c>
      <c r="K134">
        <v>0.2</v>
      </c>
      <c r="L134">
        <v>2.6849999999999996</v>
      </c>
      <c r="M134">
        <v>2.6849999999999996</v>
      </c>
      <c r="N134" t="s">
        <v>6224</v>
      </c>
      <c r="O134" t="s">
        <v>6225</v>
      </c>
    </row>
    <row r="135" spans="1:15" x14ac:dyDescent="0.25">
      <c r="A135" t="s">
        <v>2291</v>
      </c>
      <c r="B135" s="8">
        <v>43676</v>
      </c>
      <c r="C135" t="s">
        <v>2292</v>
      </c>
      <c r="D135" t="s">
        <v>6167</v>
      </c>
      <c r="E135">
        <v>5</v>
      </c>
      <c r="F135" t="s">
        <v>2293</v>
      </c>
      <c r="G135" t="s">
        <v>2294</v>
      </c>
      <c r="H135" t="s">
        <v>19</v>
      </c>
      <c r="I135" t="s">
        <v>9</v>
      </c>
      <c r="J135" t="s">
        <v>10</v>
      </c>
      <c r="K135" t="s">
        <v>12</v>
      </c>
      <c r="L135" t="s">
        <v>13</v>
      </c>
      <c r="M135" t="e">
        <v>#VALUE!</v>
      </c>
      <c r="N135" t="s">
        <v>6228</v>
      </c>
      <c r="O135" t="s">
        <v>6228</v>
      </c>
    </row>
    <row r="136" spans="1:15" x14ac:dyDescent="0.25">
      <c r="A136" t="s">
        <v>5477</v>
      </c>
      <c r="B136" s="8">
        <v>43647</v>
      </c>
      <c r="C136" t="s">
        <v>5526</v>
      </c>
      <c r="D136" t="s">
        <v>6168</v>
      </c>
      <c r="E136">
        <v>5</v>
      </c>
      <c r="F136" t="s">
        <v>5527</v>
      </c>
      <c r="G136" t="s">
        <v>5528</v>
      </c>
      <c r="H136" t="s">
        <v>19</v>
      </c>
      <c r="I136" t="s">
        <v>6193</v>
      </c>
      <c r="J136" t="s">
        <v>6187</v>
      </c>
      <c r="K136">
        <v>1</v>
      </c>
      <c r="L136">
        <v>9.9499999999999993</v>
      </c>
      <c r="M136">
        <v>49.75</v>
      </c>
      <c r="N136" t="s">
        <v>6221</v>
      </c>
      <c r="O136" t="s">
        <v>6225</v>
      </c>
    </row>
    <row r="137" spans="1:15" x14ac:dyDescent="0.25">
      <c r="A137" t="s">
        <v>4814</v>
      </c>
      <c r="B137" s="8">
        <v>43667</v>
      </c>
      <c r="C137" t="s">
        <v>4815</v>
      </c>
      <c r="D137" t="s">
        <v>6180</v>
      </c>
      <c r="E137">
        <v>2</v>
      </c>
      <c r="F137" t="s">
        <v>4816</v>
      </c>
      <c r="G137" t="s">
        <v>4817</v>
      </c>
      <c r="H137" t="s">
        <v>19</v>
      </c>
      <c r="I137" t="s">
        <v>6193</v>
      </c>
      <c r="J137" t="s">
        <v>6186</v>
      </c>
      <c r="K137">
        <v>0.2</v>
      </c>
      <c r="L137">
        <v>3.8849999999999998</v>
      </c>
      <c r="M137">
        <v>7.77</v>
      </c>
      <c r="N137" t="s">
        <v>6221</v>
      </c>
      <c r="O137" t="s">
        <v>6230</v>
      </c>
    </row>
    <row r="138" spans="1:15" x14ac:dyDescent="0.25">
      <c r="A138" t="s">
        <v>971</v>
      </c>
      <c r="B138" s="8">
        <v>43664</v>
      </c>
      <c r="C138" t="s">
        <v>972</v>
      </c>
      <c r="D138" t="s">
        <v>6182</v>
      </c>
      <c r="E138">
        <v>3</v>
      </c>
      <c r="F138" t="s">
        <v>973</v>
      </c>
      <c r="G138" t="s">
        <v>974</v>
      </c>
      <c r="H138" t="s">
        <v>19</v>
      </c>
      <c r="I138" t="s">
        <v>6193</v>
      </c>
      <c r="J138" t="s">
        <v>6186</v>
      </c>
      <c r="K138">
        <v>1</v>
      </c>
      <c r="L138">
        <v>12.95</v>
      </c>
      <c r="M138">
        <v>38.849999999999994</v>
      </c>
      <c r="N138" t="s">
        <v>6221</v>
      </c>
      <c r="O138" t="s">
        <v>6230</v>
      </c>
    </row>
    <row r="139" spans="1:15" x14ac:dyDescent="0.25">
      <c r="A139" t="s">
        <v>971</v>
      </c>
      <c r="B139" s="8">
        <v>43664</v>
      </c>
      <c r="C139" t="s">
        <v>972</v>
      </c>
      <c r="D139" t="s">
        <v>6154</v>
      </c>
      <c r="E139">
        <v>4</v>
      </c>
      <c r="F139" t="s">
        <v>973</v>
      </c>
      <c r="G139" t="s">
        <v>974</v>
      </c>
      <c r="H139" t="s">
        <v>19</v>
      </c>
      <c r="I139" t="s">
        <v>6193</v>
      </c>
      <c r="J139" t="s">
        <v>6188</v>
      </c>
      <c r="K139">
        <v>2.5</v>
      </c>
      <c r="L139">
        <v>25.874999999999996</v>
      </c>
      <c r="M139">
        <v>103.49999999999999</v>
      </c>
      <c r="N139" t="s">
        <v>6221</v>
      </c>
      <c r="O139" t="s">
        <v>6226</v>
      </c>
    </row>
    <row r="140" spans="1:15" x14ac:dyDescent="0.25">
      <c r="A140" t="s">
        <v>4539</v>
      </c>
      <c r="B140" s="8">
        <v>43649</v>
      </c>
      <c r="C140" t="s">
        <v>4540</v>
      </c>
      <c r="D140" t="s">
        <v>6168</v>
      </c>
      <c r="E140">
        <v>3</v>
      </c>
      <c r="F140" t="s">
        <v>4541</v>
      </c>
      <c r="G140" t="s">
        <v>4542</v>
      </c>
      <c r="H140" t="s">
        <v>19</v>
      </c>
      <c r="I140" t="s">
        <v>6193</v>
      </c>
      <c r="J140" t="s">
        <v>6187</v>
      </c>
      <c r="K140">
        <v>1</v>
      </c>
      <c r="L140">
        <v>9.9499999999999993</v>
      </c>
      <c r="M140">
        <v>29.849999999999998</v>
      </c>
      <c r="N140" t="s">
        <v>6221</v>
      </c>
      <c r="O140" t="s">
        <v>6225</v>
      </c>
    </row>
    <row r="141" spans="1:15" x14ac:dyDescent="0.25">
      <c r="A141" t="s">
        <v>4456</v>
      </c>
      <c r="B141" s="8">
        <v>43661</v>
      </c>
      <c r="C141" t="s">
        <v>4457</v>
      </c>
      <c r="D141" t="s">
        <v>6180</v>
      </c>
      <c r="E141">
        <v>1</v>
      </c>
      <c r="F141" t="s">
        <v>4458</v>
      </c>
      <c r="G141" t="s">
        <v>4459</v>
      </c>
      <c r="H141" t="s">
        <v>19</v>
      </c>
      <c r="I141" t="s">
        <v>6193</v>
      </c>
      <c r="J141" t="s">
        <v>6186</v>
      </c>
      <c r="K141">
        <v>0.2</v>
      </c>
      <c r="L141">
        <v>3.8849999999999998</v>
      </c>
      <c r="M141">
        <v>3.8849999999999998</v>
      </c>
      <c r="N141" t="s">
        <v>6221</v>
      </c>
      <c r="O141" t="s">
        <v>6230</v>
      </c>
    </row>
    <row r="142" spans="1:15" x14ac:dyDescent="0.25">
      <c r="A142" t="s">
        <v>2733</v>
      </c>
      <c r="B142" s="8">
        <v>43677</v>
      </c>
      <c r="C142" t="s">
        <v>2734</v>
      </c>
      <c r="D142" t="s">
        <v>6154</v>
      </c>
      <c r="E142">
        <v>6</v>
      </c>
      <c r="F142" t="s">
        <v>2735</v>
      </c>
      <c r="G142" t="s">
        <v>2736</v>
      </c>
      <c r="H142" t="s">
        <v>19</v>
      </c>
      <c r="I142" t="s">
        <v>6193</v>
      </c>
      <c r="J142" t="s">
        <v>6188</v>
      </c>
      <c r="K142">
        <v>2.5</v>
      </c>
      <c r="L142">
        <v>25.874999999999996</v>
      </c>
      <c r="M142">
        <v>155.24999999999997</v>
      </c>
      <c r="N142" t="s">
        <v>6221</v>
      </c>
      <c r="O142" t="s">
        <v>6226</v>
      </c>
    </row>
    <row r="143" spans="1:15" x14ac:dyDescent="0.25">
      <c r="A143" t="s">
        <v>4741</v>
      </c>
      <c r="B143" s="8">
        <v>43648</v>
      </c>
      <c r="C143" t="s">
        <v>4742</v>
      </c>
      <c r="D143" t="s">
        <v>6141</v>
      </c>
      <c r="E143">
        <v>2</v>
      </c>
      <c r="F143" t="s">
        <v>4743</v>
      </c>
      <c r="G143" t="s">
        <v>4744</v>
      </c>
      <c r="H143" t="s">
        <v>19</v>
      </c>
      <c r="I143" t="s">
        <v>6194</v>
      </c>
      <c r="J143" t="s">
        <v>6188</v>
      </c>
      <c r="K143">
        <v>0.5</v>
      </c>
      <c r="L143">
        <v>8.25</v>
      </c>
      <c r="M143">
        <v>16.5</v>
      </c>
      <c r="N143" t="s">
        <v>6222</v>
      </c>
      <c r="O143" t="s">
        <v>6226</v>
      </c>
    </row>
    <row r="144" spans="1:15" x14ac:dyDescent="0.25">
      <c r="A144" t="s">
        <v>1216</v>
      </c>
      <c r="B144" s="8">
        <v>43652</v>
      </c>
      <c r="C144" t="s">
        <v>1217</v>
      </c>
      <c r="D144" t="s">
        <v>6183</v>
      </c>
      <c r="E144">
        <v>1</v>
      </c>
      <c r="F144" t="s">
        <v>1218</v>
      </c>
      <c r="G144" t="s">
        <v>1219</v>
      </c>
      <c r="H144" t="s">
        <v>19</v>
      </c>
      <c r="I144" t="s">
        <v>6194</v>
      </c>
      <c r="J144" t="s">
        <v>6187</v>
      </c>
      <c r="K144">
        <v>0.5</v>
      </c>
      <c r="L144">
        <v>7.29</v>
      </c>
      <c r="M144">
        <v>7.29</v>
      </c>
      <c r="N144" t="s">
        <v>6222</v>
      </c>
      <c r="O144" t="s">
        <v>6225</v>
      </c>
    </row>
    <row r="145" spans="1:15" x14ac:dyDescent="0.25">
      <c r="A145" t="s">
        <v>3818</v>
      </c>
      <c r="B145" s="8">
        <v>43671</v>
      </c>
      <c r="C145" t="s">
        <v>3819</v>
      </c>
      <c r="D145" t="s">
        <v>6148</v>
      </c>
      <c r="E145">
        <v>6</v>
      </c>
      <c r="F145" t="s">
        <v>3820</v>
      </c>
      <c r="G145" t="s">
        <v>3821</v>
      </c>
      <c r="H145" t="s">
        <v>19</v>
      </c>
      <c r="I145" t="s">
        <v>6194</v>
      </c>
      <c r="J145" t="s">
        <v>6186</v>
      </c>
      <c r="K145">
        <v>1</v>
      </c>
      <c r="L145">
        <v>14.85</v>
      </c>
      <c r="M145">
        <v>89.1</v>
      </c>
      <c r="N145" t="s">
        <v>6222</v>
      </c>
      <c r="O145" t="s">
        <v>6230</v>
      </c>
    </row>
    <row r="146" spans="1:15" x14ac:dyDescent="0.25">
      <c r="A146" t="s">
        <v>2319</v>
      </c>
      <c r="B146" s="8">
        <v>43666</v>
      </c>
      <c r="C146" t="s">
        <v>2320</v>
      </c>
      <c r="D146" t="s">
        <v>6141</v>
      </c>
      <c r="E146">
        <v>1</v>
      </c>
      <c r="F146" t="s">
        <v>2321</v>
      </c>
      <c r="G146" t="s">
        <v>6228</v>
      </c>
      <c r="H146" t="s">
        <v>19</v>
      </c>
      <c r="I146" t="s">
        <v>6194</v>
      </c>
      <c r="J146" t="s">
        <v>6188</v>
      </c>
      <c r="K146">
        <v>0.5</v>
      </c>
      <c r="L146">
        <v>8.25</v>
      </c>
      <c r="M146">
        <v>8.25</v>
      </c>
      <c r="N146" t="s">
        <v>6222</v>
      </c>
      <c r="O146" t="s">
        <v>6226</v>
      </c>
    </row>
    <row r="147" spans="1:15" x14ac:dyDescent="0.25">
      <c r="A147" t="s">
        <v>2291</v>
      </c>
      <c r="B147" s="8">
        <v>43676</v>
      </c>
      <c r="C147" t="s">
        <v>2292</v>
      </c>
      <c r="D147" t="s">
        <v>6156</v>
      </c>
      <c r="E147">
        <v>2</v>
      </c>
      <c r="F147" t="s">
        <v>2293</v>
      </c>
      <c r="G147" t="s">
        <v>2294</v>
      </c>
      <c r="H147" t="s">
        <v>19</v>
      </c>
      <c r="I147" t="s">
        <v>6194</v>
      </c>
      <c r="J147" t="s">
        <v>6186</v>
      </c>
      <c r="K147">
        <v>2.5</v>
      </c>
      <c r="L147">
        <v>34.154999999999994</v>
      </c>
      <c r="M147">
        <v>68.309999999999988</v>
      </c>
      <c r="N147" t="s">
        <v>6222</v>
      </c>
      <c r="O147" t="s">
        <v>6230</v>
      </c>
    </row>
    <row r="148" spans="1:15" x14ac:dyDescent="0.25">
      <c r="A148" t="s">
        <v>2015</v>
      </c>
      <c r="B148" s="8">
        <v>43655</v>
      </c>
      <c r="C148" t="s">
        <v>2016</v>
      </c>
      <c r="D148" t="s">
        <v>6144</v>
      </c>
      <c r="E148">
        <v>1</v>
      </c>
      <c r="F148" t="s">
        <v>2017</v>
      </c>
      <c r="G148" t="s">
        <v>6228</v>
      </c>
      <c r="H148" t="s">
        <v>318</v>
      </c>
      <c r="I148" t="s">
        <v>6194</v>
      </c>
      <c r="J148" t="s">
        <v>6187</v>
      </c>
      <c r="K148">
        <v>0.2</v>
      </c>
      <c r="L148">
        <v>3.645</v>
      </c>
      <c r="M148">
        <v>3.645</v>
      </c>
      <c r="N148" t="s">
        <v>6222</v>
      </c>
      <c r="O148" t="s">
        <v>6225</v>
      </c>
    </row>
    <row r="149" spans="1:15" x14ac:dyDescent="0.25">
      <c r="A149" t="s">
        <v>5967</v>
      </c>
      <c r="B149" s="8">
        <v>43649</v>
      </c>
      <c r="C149" t="s">
        <v>5968</v>
      </c>
      <c r="D149" t="s">
        <v>6143</v>
      </c>
      <c r="E149">
        <v>1</v>
      </c>
      <c r="F149" t="s">
        <v>5969</v>
      </c>
      <c r="G149" t="s">
        <v>5970</v>
      </c>
      <c r="H149" t="s">
        <v>19</v>
      </c>
      <c r="I149" t="s">
        <v>6195</v>
      </c>
      <c r="J149" t="s">
        <v>6187</v>
      </c>
      <c r="K149">
        <v>0.5</v>
      </c>
      <c r="L149">
        <v>7.77</v>
      </c>
      <c r="M149">
        <v>7.77</v>
      </c>
      <c r="N149" t="s">
        <v>6223</v>
      </c>
      <c r="O149" t="s">
        <v>6225</v>
      </c>
    </row>
    <row r="150" spans="1:15" x14ac:dyDescent="0.25">
      <c r="A150" t="s">
        <v>3254</v>
      </c>
      <c r="B150" s="8">
        <v>43654</v>
      </c>
      <c r="C150" t="s">
        <v>3255</v>
      </c>
      <c r="D150" t="s">
        <v>6170</v>
      </c>
      <c r="E150">
        <v>6</v>
      </c>
      <c r="F150" t="s">
        <v>3256</v>
      </c>
      <c r="G150" t="s">
        <v>3257</v>
      </c>
      <c r="H150" t="s">
        <v>19</v>
      </c>
      <c r="I150" t="s">
        <v>6195</v>
      </c>
      <c r="J150" t="s">
        <v>6186</v>
      </c>
      <c r="K150">
        <v>0.5</v>
      </c>
      <c r="L150">
        <v>9.51</v>
      </c>
      <c r="M150">
        <v>57.06</v>
      </c>
      <c r="N150" t="s">
        <v>6223</v>
      </c>
      <c r="O150" t="s">
        <v>6230</v>
      </c>
    </row>
    <row r="151" spans="1:15" x14ac:dyDescent="0.25">
      <c r="A151" t="s">
        <v>3070</v>
      </c>
      <c r="B151" s="8">
        <v>43671</v>
      </c>
      <c r="C151" t="s">
        <v>3071</v>
      </c>
      <c r="D151" t="s">
        <v>6161</v>
      </c>
      <c r="E151">
        <v>5</v>
      </c>
      <c r="F151" t="s">
        <v>3072</v>
      </c>
      <c r="G151" t="s">
        <v>3073</v>
      </c>
      <c r="H151" t="s">
        <v>19</v>
      </c>
      <c r="I151" t="s">
        <v>6195</v>
      </c>
      <c r="J151" t="s">
        <v>6186</v>
      </c>
      <c r="K151">
        <v>0.2</v>
      </c>
      <c r="L151">
        <v>4.7549999999999999</v>
      </c>
      <c r="M151">
        <v>23.774999999999999</v>
      </c>
      <c r="N151" t="s">
        <v>6223</v>
      </c>
      <c r="O151" t="s">
        <v>6230</v>
      </c>
    </row>
    <row r="152" spans="1:15" x14ac:dyDescent="0.25">
      <c r="A152" t="s">
        <v>5495</v>
      </c>
      <c r="B152" s="8">
        <v>43664</v>
      </c>
      <c r="C152" t="s">
        <v>5496</v>
      </c>
      <c r="D152" t="s">
        <v>6149</v>
      </c>
      <c r="E152">
        <v>6</v>
      </c>
      <c r="F152" t="s">
        <v>5497</v>
      </c>
      <c r="G152" t="s">
        <v>5498</v>
      </c>
      <c r="H152" t="s">
        <v>318</v>
      </c>
      <c r="I152" t="s">
        <v>6192</v>
      </c>
      <c r="J152" t="s">
        <v>6187</v>
      </c>
      <c r="K152">
        <v>1</v>
      </c>
      <c r="L152">
        <v>8.9499999999999993</v>
      </c>
      <c r="M152">
        <v>53.699999999999996</v>
      </c>
      <c r="N152" t="s">
        <v>6224</v>
      </c>
      <c r="O152" t="s">
        <v>6225</v>
      </c>
    </row>
    <row r="153" spans="1:15" x14ac:dyDescent="0.25">
      <c r="A153" t="s">
        <v>4814</v>
      </c>
      <c r="B153" s="8">
        <v>43667</v>
      </c>
      <c r="C153" t="s">
        <v>4815</v>
      </c>
      <c r="D153" t="s">
        <v>6138</v>
      </c>
      <c r="E153">
        <v>6</v>
      </c>
      <c r="F153" t="s">
        <v>4816</v>
      </c>
      <c r="G153" t="s">
        <v>4817</v>
      </c>
      <c r="H153" t="s">
        <v>19</v>
      </c>
      <c r="I153" t="s">
        <v>6192</v>
      </c>
      <c r="J153" t="s">
        <v>6188</v>
      </c>
      <c r="K153">
        <v>0.5</v>
      </c>
      <c r="L153">
        <v>5.97</v>
      </c>
      <c r="M153">
        <v>35.82</v>
      </c>
      <c r="N153" t="s">
        <v>6224</v>
      </c>
      <c r="O153" t="s">
        <v>6226</v>
      </c>
    </row>
    <row r="154" spans="1:15" x14ac:dyDescent="0.25">
      <c r="A154" t="s">
        <v>4776</v>
      </c>
      <c r="B154" s="8">
        <v>43672</v>
      </c>
      <c r="C154" t="s">
        <v>4777</v>
      </c>
      <c r="D154" t="s">
        <v>6177</v>
      </c>
      <c r="E154">
        <v>1</v>
      </c>
      <c r="F154" t="s">
        <v>4778</v>
      </c>
      <c r="G154" t="s">
        <v>4779</v>
      </c>
      <c r="H154" t="s">
        <v>19</v>
      </c>
      <c r="I154" t="s">
        <v>6192</v>
      </c>
      <c r="J154" t="s">
        <v>6187</v>
      </c>
      <c r="K154">
        <v>0.5</v>
      </c>
      <c r="L154">
        <v>5.3699999999999992</v>
      </c>
      <c r="M154">
        <v>5.3699999999999992</v>
      </c>
      <c r="N154" t="s">
        <v>6224</v>
      </c>
      <c r="O154" t="s">
        <v>6225</v>
      </c>
    </row>
    <row r="155" spans="1:15" x14ac:dyDescent="0.25">
      <c r="A155" t="s">
        <v>3895</v>
      </c>
      <c r="B155" s="8">
        <v>43660</v>
      </c>
      <c r="C155" t="s">
        <v>3896</v>
      </c>
      <c r="D155" t="s">
        <v>6174</v>
      </c>
      <c r="E155">
        <v>3</v>
      </c>
      <c r="F155" t="s">
        <v>3897</v>
      </c>
      <c r="G155" t="s">
        <v>3898</v>
      </c>
      <c r="H155" t="s">
        <v>19</v>
      </c>
      <c r="I155" t="s">
        <v>6192</v>
      </c>
      <c r="J155" t="s">
        <v>6186</v>
      </c>
      <c r="K155">
        <v>2.5</v>
      </c>
      <c r="L155">
        <v>27.484999999999996</v>
      </c>
      <c r="M155">
        <v>82.454999999999984</v>
      </c>
      <c r="N155" t="s">
        <v>6224</v>
      </c>
      <c r="O155" t="s">
        <v>6230</v>
      </c>
    </row>
    <row r="156" spans="1:15" x14ac:dyDescent="0.25">
      <c r="A156" t="s">
        <v>3665</v>
      </c>
      <c r="B156" s="8">
        <v>43669</v>
      </c>
      <c r="C156" t="s">
        <v>3666</v>
      </c>
      <c r="D156" t="s">
        <v>6145</v>
      </c>
      <c r="E156">
        <v>6</v>
      </c>
      <c r="F156" t="s">
        <v>3667</v>
      </c>
      <c r="G156" t="s">
        <v>3668</v>
      </c>
      <c r="H156" t="s">
        <v>28</v>
      </c>
      <c r="I156" t="s">
        <v>6192</v>
      </c>
      <c r="J156" t="s">
        <v>6187</v>
      </c>
      <c r="K156">
        <v>2.5</v>
      </c>
      <c r="L156">
        <v>20.584999999999997</v>
      </c>
      <c r="M156">
        <v>123.50999999999999</v>
      </c>
      <c r="N156" t="s">
        <v>6224</v>
      </c>
      <c r="O156" t="s">
        <v>6225</v>
      </c>
    </row>
    <row r="157" spans="1:15" x14ac:dyDescent="0.25">
      <c r="A157" t="s">
        <v>2062</v>
      </c>
      <c r="B157" s="8">
        <v>43708</v>
      </c>
      <c r="C157" t="s">
        <v>2063</v>
      </c>
      <c r="D157" t="s">
        <v>6167</v>
      </c>
      <c r="E157">
        <v>2</v>
      </c>
      <c r="F157" t="s">
        <v>2064</v>
      </c>
      <c r="G157" t="s">
        <v>2065</v>
      </c>
      <c r="H157" t="s">
        <v>19</v>
      </c>
      <c r="I157" t="s">
        <v>9</v>
      </c>
      <c r="J157" t="s">
        <v>10</v>
      </c>
      <c r="K157" t="s">
        <v>12</v>
      </c>
      <c r="L157" t="s">
        <v>13</v>
      </c>
      <c r="M157" t="e">
        <v>#VALUE!</v>
      </c>
      <c r="N157" t="s">
        <v>6228</v>
      </c>
      <c r="O157" t="s">
        <v>6228</v>
      </c>
    </row>
    <row r="158" spans="1:15" x14ac:dyDescent="0.25">
      <c r="A158" t="s">
        <v>5978</v>
      </c>
      <c r="B158" s="8">
        <v>43703</v>
      </c>
      <c r="C158" t="s">
        <v>5979</v>
      </c>
      <c r="D158" t="s">
        <v>6182</v>
      </c>
      <c r="E158">
        <v>5</v>
      </c>
      <c r="F158" t="s">
        <v>5980</v>
      </c>
      <c r="G158" t="s">
        <v>5981</v>
      </c>
      <c r="H158" t="s">
        <v>19</v>
      </c>
      <c r="I158" t="s">
        <v>6193</v>
      </c>
      <c r="J158" t="s">
        <v>6186</v>
      </c>
      <c r="K158">
        <v>1</v>
      </c>
      <c r="L158">
        <v>12.95</v>
      </c>
      <c r="M158">
        <v>64.75</v>
      </c>
      <c r="N158" t="s">
        <v>6221</v>
      </c>
      <c r="O158" t="s">
        <v>6230</v>
      </c>
    </row>
    <row r="159" spans="1:15" x14ac:dyDescent="0.25">
      <c r="A159" t="s">
        <v>5433</v>
      </c>
      <c r="B159" s="8">
        <v>43680</v>
      </c>
      <c r="C159" t="s">
        <v>5434</v>
      </c>
      <c r="D159" t="s">
        <v>6140</v>
      </c>
      <c r="E159">
        <v>2</v>
      </c>
      <c r="F159" t="s">
        <v>5435</v>
      </c>
      <c r="G159" t="s">
        <v>5436</v>
      </c>
      <c r="H159" t="s">
        <v>19</v>
      </c>
      <c r="I159" t="s">
        <v>6193</v>
      </c>
      <c r="J159" t="s">
        <v>6186</v>
      </c>
      <c r="K159">
        <v>0.5</v>
      </c>
      <c r="L159">
        <v>7.77</v>
      </c>
      <c r="M159">
        <v>15.54</v>
      </c>
      <c r="N159" t="s">
        <v>6221</v>
      </c>
      <c r="O159" t="s">
        <v>6230</v>
      </c>
    </row>
    <row r="160" spans="1:15" x14ac:dyDescent="0.25">
      <c r="A160" t="s">
        <v>4093</v>
      </c>
      <c r="B160" s="8">
        <v>43684</v>
      </c>
      <c r="C160" t="s">
        <v>4094</v>
      </c>
      <c r="D160" t="s">
        <v>6175</v>
      </c>
      <c r="E160">
        <v>3</v>
      </c>
      <c r="F160" t="s">
        <v>4095</v>
      </c>
      <c r="G160" t="s">
        <v>6228</v>
      </c>
      <c r="H160" t="s">
        <v>318</v>
      </c>
      <c r="I160" t="s">
        <v>6193</v>
      </c>
      <c r="J160" t="s">
        <v>6188</v>
      </c>
      <c r="K160">
        <v>1</v>
      </c>
      <c r="L160">
        <v>11.25</v>
      </c>
      <c r="M160">
        <v>33.75</v>
      </c>
      <c r="N160" t="s">
        <v>6221</v>
      </c>
      <c r="O160" t="s">
        <v>6226</v>
      </c>
    </row>
    <row r="161" spans="1:15" x14ac:dyDescent="0.25">
      <c r="A161" t="s">
        <v>3659</v>
      </c>
      <c r="B161" s="8">
        <v>43688</v>
      </c>
      <c r="C161" t="s">
        <v>3660</v>
      </c>
      <c r="D161" t="s">
        <v>6154</v>
      </c>
      <c r="E161">
        <v>6</v>
      </c>
      <c r="F161" t="s">
        <v>3661</v>
      </c>
      <c r="G161" t="s">
        <v>6228</v>
      </c>
      <c r="H161" t="s">
        <v>318</v>
      </c>
      <c r="I161" t="s">
        <v>6193</v>
      </c>
      <c r="J161" t="s">
        <v>6188</v>
      </c>
      <c r="K161">
        <v>2.5</v>
      </c>
      <c r="L161">
        <v>25.874999999999996</v>
      </c>
      <c r="M161">
        <v>155.24999999999997</v>
      </c>
      <c r="N161" t="s">
        <v>6221</v>
      </c>
      <c r="O161" t="s">
        <v>6226</v>
      </c>
    </row>
    <row r="162" spans="1:15" x14ac:dyDescent="0.25">
      <c r="A162" t="s">
        <v>1590</v>
      </c>
      <c r="B162" s="8">
        <v>43683</v>
      </c>
      <c r="C162" t="s">
        <v>1591</v>
      </c>
      <c r="D162" t="s">
        <v>6140</v>
      </c>
      <c r="E162">
        <v>3</v>
      </c>
      <c r="F162" t="s">
        <v>1592</v>
      </c>
      <c r="G162" t="s">
        <v>1593</v>
      </c>
      <c r="H162" t="s">
        <v>19</v>
      </c>
      <c r="I162" t="s">
        <v>6193</v>
      </c>
      <c r="J162" t="s">
        <v>6186</v>
      </c>
      <c r="K162">
        <v>0.5</v>
      </c>
      <c r="L162">
        <v>7.77</v>
      </c>
      <c r="M162">
        <v>23.31</v>
      </c>
      <c r="N162" t="s">
        <v>6221</v>
      </c>
      <c r="O162" t="s">
        <v>6230</v>
      </c>
    </row>
    <row r="163" spans="1:15" x14ac:dyDescent="0.25">
      <c r="A163" t="s">
        <v>2363</v>
      </c>
      <c r="B163" s="8">
        <v>43689</v>
      </c>
      <c r="C163" t="s">
        <v>2364</v>
      </c>
      <c r="D163" t="s">
        <v>6158</v>
      </c>
      <c r="E163">
        <v>3</v>
      </c>
      <c r="F163" t="s">
        <v>2365</v>
      </c>
      <c r="G163" t="s">
        <v>2366</v>
      </c>
      <c r="H163" t="s">
        <v>19</v>
      </c>
      <c r="I163" t="s">
        <v>6193</v>
      </c>
      <c r="J163" t="s">
        <v>6187</v>
      </c>
      <c r="K163">
        <v>0.2</v>
      </c>
      <c r="L163">
        <v>2.9849999999999999</v>
      </c>
      <c r="M163">
        <v>8.9550000000000001</v>
      </c>
      <c r="N163" t="s">
        <v>6221</v>
      </c>
      <c r="O163" t="s">
        <v>6225</v>
      </c>
    </row>
    <row r="164" spans="1:15" x14ac:dyDescent="0.25">
      <c r="A164" t="s">
        <v>5413</v>
      </c>
      <c r="B164" s="8">
        <v>43707</v>
      </c>
      <c r="C164" t="s">
        <v>5414</v>
      </c>
      <c r="D164" t="s">
        <v>6171</v>
      </c>
      <c r="E164">
        <v>2</v>
      </c>
      <c r="F164" t="s">
        <v>5415</v>
      </c>
      <c r="G164" t="s">
        <v>5416</v>
      </c>
      <c r="H164" t="s">
        <v>28</v>
      </c>
      <c r="I164" t="s">
        <v>6194</v>
      </c>
      <c r="J164" t="s">
        <v>6186</v>
      </c>
      <c r="K164">
        <v>0.5</v>
      </c>
      <c r="L164">
        <v>8.91</v>
      </c>
      <c r="M164">
        <v>17.82</v>
      </c>
      <c r="N164" t="s">
        <v>6222</v>
      </c>
      <c r="O164" t="s">
        <v>6230</v>
      </c>
    </row>
    <row r="165" spans="1:15" x14ac:dyDescent="0.25">
      <c r="A165" t="s">
        <v>1969</v>
      </c>
      <c r="B165" s="8">
        <v>43693</v>
      </c>
      <c r="C165" t="s">
        <v>1970</v>
      </c>
      <c r="D165" t="s">
        <v>6141</v>
      </c>
      <c r="E165">
        <v>3</v>
      </c>
      <c r="F165" t="s">
        <v>1971</v>
      </c>
      <c r="G165" t="s">
        <v>1972</v>
      </c>
      <c r="H165" t="s">
        <v>19</v>
      </c>
      <c r="I165" t="s">
        <v>6194</v>
      </c>
      <c r="J165" t="s">
        <v>6188</v>
      </c>
      <c r="K165">
        <v>0.5</v>
      </c>
      <c r="L165">
        <v>8.25</v>
      </c>
      <c r="M165">
        <v>24.75</v>
      </c>
      <c r="N165" t="s">
        <v>6222</v>
      </c>
      <c r="O165" t="s">
        <v>6226</v>
      </c>
    </row>
    <row r="166" spans="1:15" x14ac:dyDescent="0.25">
      <c r="A166" t="s">
        <v>1071</v>
      </c>
      <c r="B166" s="8">
        <v>43694</v>
      </c>
      <c r="C166" t="s">
        <v>1072</v>
      </c>
      <c r="D166" t="s">
        <v>6162</v>
      </c>
      <c r="E166">
        <v>6</v>
      </c>
      <c r="F166" t="s">
        <v>1073</v>
      </c>
      <c r="G166" t="s">
        <v>1074</v>
      </c>
      <c r="H166" t="s">
        <v>19</v>
      </c>
      <c r="I166" t="s">
        <v>6195</v>
      </c>
      <c r="J166" t="s">
        <v>6188</v>
      </c>
      <c r="K166">
        <v>0.5</v>
      </c>
      <c r="L166">
        <v>8.73</v>
      </c>
      <c r="M166">
        <v>52.38</v>
      </c>
      <c r="N166" t="s">
        <v>6223</v>
      </c>
      <c r="O166" t="s">
        <v>6226</v>
      </c>
    </row>
    <row r="167" spans="1:15" x14ac:dyDescent="0.25">
      <c r="A167" t="s">
        <v>4423</v>
      </c>
      <c r="B167" s="8">
        <v>43693</v>
      </c>
      <c r="C167" t="s">
        <v>4424</v>
      </c>
      <c r="D167" t="s">
        <v>6169</v>
      </c>
      <c r="E167">
        <v>4</v>
      </c>
      <c r="F167" t="s">
        <v>4425</v>
      </c>
      <c r="G167" t="s">
        <v>4426</v>
      </c>
      <c r="H167" t="s">
        <v>19</v>
      </c>
      <c r="I167" t="s">
        <v>6195</v>
      </c>
      <c r="J167" t="s">
        <v>6187</v>
      </c>
      <c r="K167">
        <v>0.2</v>
      </c>
      <c r="L167">
        <v>3.8849999999999998</v>
      </c>
      <c r="M167">
        <v>15.54</v>
      </c>
      <c r="N167" t="s">
        <v>6223</v>
      </c>
      <c r="O167" t="s">
        <v>6225</v>
      </c>
    </row>
    <row r="168" spans="1:15" x14ac:dyDescent="0.25">
      <c r="A168" t="s">
        <v>1134</v>
      </c>
      <c r="B168" s="8">
        <v>43693</v>
      </c>
      <c r="C168" t="s">
        <v>1135</v>
      </c>
      <c r="D168" t="s">
        <v>6170</v>
      </c>
      <c r="E168">
        <v>1</v>
      </c>
      <c r="F168" t="s">
        <v>1136</v>
      </c>
      <c r="G168" t="s">
        <v>1137</v>
      </c>
      <c r="H168" t="s">
        <v>28</v>
      </c>
      <c r="I168" t="s">
        <v>6195</v>
      </c>
      <c r="J168" t="s">
        <v>6186</v>
      </c>
      <c r="K168">
        <v>0.5</v>
      </c>
      <c r="L168">
        <v>9.51</v>
      </c>
      <c r="M168">
        <v>9.51</v>
      </c>
      <c r="N168" t="s">
        <v>6223</v>
      </c>
      <c r="O168" t="s">
        <v>6230</v>
      </c>
    </row>
    <row r="169" spans="1:15" x14ac:dyDescent="0.25">
      <c r="A169" t="s">
        <v>4637</v>
      </c>
      <c r="B169" s="8">
        <v>43697</v>
      </c>
      <c r="C169" t="s">
        <v>4638</v>
      </c>
      <c r="D169" t="s">
        <v>6163</v>
      </c>
      <c r="E169">
        <v>5</v>
      </c>
      <c r="F169" t="s">
        <v>4639</v>
      </c>
      <c r="G169" t="s">
        <v>6228</v>
      </c>
      <c r="H169" t="s">
        <v>19</v>
      </c>
      <c r="I169" t="s">
        <v>6192</v>
      </c>
      <c r="J169" t="s">
        <v>6188</v>
      </c>
      <c r="K169">
        <v>2.5</v>
      </c>
      <c r="L169">
        <v>22.884999999999998</v>
      </c>
      <c r="M169">
        <v>114.42499999999998</v>
      </c>
      <c r="N169" t="s">
        <v>6224</v>
      </c>
      <c r="O169" t="s">
        <v>6226</v>
      </c>
    </row>
    <row r="170" spans="1:15" x14ac:dyDescent="0.25">
      <c r="A170" t="s">
        <v>1538</v>
      </c>
      <c r="B170" s="8">
        <v>43684</v>
      </c>
      <c r="C170" t="s">
        <v>1539</v>
      </c>
      <c r="D170" t="s">
        <v>6151</v>
      </c>
      <c r="E170">
        <v>3</v>
      </c>
      <c r="F170" t="s">
        <v>1540</v>
      </c>
      <c r="G170" t="s">
        <v>1541</v>
      </c>
      <c r="H170" t="s">
        <v>19</v>
      </c>
      <c r="I170" t="s">
        <v>6192</v>
      </c>
      <c r="J170" t="s">
        <v>6188</v>
      </c>
      <c r="K170">
        <v>1</v>
      </c>
      <c r="L170">
        <v>9.9499999999999993</v>
      </c>
      <c r="M170">
        <v>29.849999999999998</v>
      </c>
      <c r="N170" t="s">
        <v>6224</v>
      </c>
      <c r="O170" t="s">
        <v>6226</v>
      </c>
    </row>
    <row r="171" spans="1:15" x14ac:dyDescent="0.25">
      <c r="A171" t="s">
        <v>2829</v>
      </c>
      <c r="B171" s="8">
        <v>43683</v>
      </c>
      <c r="C171" t="s">
        <v>2830</v>
      </c>
      <c r="D171" t="s">
        <v>6174</v>
      </c>
      <c r="E171">
        <v>3</v>
      </c>
      <c r="F171" t="s">
        <v>2831</v>
      </c>
      <c r="G171" t="s">
        <v>2832</v>
      </c>
      <c r="H171" t="s">
        <v>19</v>
      </c>
      <c r="I171" t="s">
        <v>6192</v>
      </c>
      <c r="J171" t="s">
        <v>6186</v>
      </c>
      <c r="K171">
        <v>2.5</v>
      </c>
      <c r="L171">
        <v>27.484999999999996</v>
      </c>
      <c r="M171">
        <v>82.454999999999984</v>
      </c>
      <c r="N171" t="s">
        <v>6224</v>
      </c>
      <c r="O171" t="s">
        <v>6230</v>
      </c>
    </row>
    <row r="172" spans="1:15" x14ac:dyDescent="0.25">
      <c r="A172" t="s">
        <v>2627</v>
      </c>
      <c r="B172" s="8">
        <v>43690</v>
      </c>
      <c r="C172" t="s">
        <v>2628</v>
      </c>
      <c r="D172" t="s">
        <v>6173</v>
      </c>
      <c r="E172">
        <v>6</v>
      </c>
      <c r="F172" t="s">
        <v>2629</v>
      </c>
      <c r="G172" t="s">
        <v>2630</v>
      </c>
      <c r="H172" t="s">
        <v>28</v>
      </c>
      <c r="I172" t="s">
        <v>6192</v>
      </c>
      <c r="J172" t="s">
        <v>6186</v>
      </c>
      <c r="K172">
        <v>0.2</v>
      </c>
      <c r="L172">
        <v>3.5849999999999995</v>
      </c>
      <c r="M172">
        <v>21.509999999999998</v>
      </c>
      <c r="N172" t="s">
        <v>6224</v>
      </c>
      <c r="O172" t="s">
        <v>6230</v>
      </c>
    </row>
    <row r="173" spans="1:15" x14ac:dyDescent="0.25">
      <c r="A173" t="s">
        <v>2424</v>
      </c>
      <c r="B173" s="8">
        <v>43692</v>
      </c>
      <c r="C173" t="s">
        <v>2425</v>
      </c>
      <c r="D173" t="s">
        <v>6172</v>
      </c>
      <c r="E173">
        <v>6</v>
      </c>
      <c r="F173" t="s">
        <v>2426</v>
      </c>
      <c r="G173" t="s">
        <v>2427</v>
      </c>
      <c r="H173" t="s">
        <v>19</v>
      </c>
      <c r="I173" t="s">
        <v>6192</v>
      </c>
      <c r="J173" t="s">
        <v>6187</v>
      </c>
      <c r="K173">
        <v>0.2</v>
      </c>
      <c r="L173">
        <v>2.6849999999999996</v>
      </c>
      <c r="M173">
        <v>16.11</v>
      </c>
      <c r="N173" t="s">
        <v>6224</v>
      </c>
      <c r="O173" t="s">
        <v>6225</v>
      </c>
    </row>
    <row r="174" spans="1:15" x14ac:dyDescent="0.25">
      <c r="A174" t="s">
        <v>5345</v>
      </c>
      <c r="B174" s="8">
        <v>43716</v>
      </c>
      <c r="C174" t="s">
        <v>5346</v>
      </c>
      <c r="D174" t="s">
        <v>6182</v>
      </c>
      <c r="E174">
        <v>6</v>
      </c>
      <c r="F174" t="s">
        <v>5347</v>
      </c>
      <c r="G174" t="s">
        <v>5348</v>
      </c>
      <c r="H174" t="s">
        <v>19</v>
      </c>
      <c r="I174" t="s">
        <v>6193</v>
      </c>
      <c r="J174" t="s">
        <v>6186</v>
      </c>
      <c r="K174">
        <v>1</v>
      </c>
      <c r="L174">
        <v>12.95</v>
      </c>
      <c r="M174">
        <v>77.699999999999989</v>
      </c>
      <c r="N174" t="s">
        <v>6221</v>
      </c>
      <c r="O174" t="s">
        <v>6230</v>
      </c>
    </row>
    <row r="175" spans="1:15" x14ac:dyDescent="0.25">
      <c r="A175" t="s">
        <v>490</v>
      </c>
      <c r="B175" s="8">
        <v>43713</v>
      </c>
      <c r="C175" t="s">
        <v>491</v>
      </c>
      <c r="D175" t="s">
        <v>6139</v>
      </c>
      <c r="E175">
        <v>5</v>
      </c>
      <c r="F175" t="s">
        <v>492</v>
      </c>
      <c r="G175" t="s">
        <v>493</v>
      </c>
      <c r="H175" t="s">
        <v>19</v>
      </c>
      <c r="I175" t="s">
        <v>6194</v>
      </c>
      <c r="J175" t="s">
        <v>6188</v>
      </c>
      <c r="K175">
        <v>0.2</v>
      </c>
      <c r="L175">
        <v>4.125</v>
      </c>
      <c r="M175">
        <v>20.625</v>
      </c>
      <c r="N175" t="s">
        <v>6222</v>
      </c>
      <c r="O175" t="s">
        <v>6226</v>
      </c>
    </row>
    <row r="176" spans="1:15" x14ac:dyDescent="0.25">
      <c r="A176" t="s">
        <v>5973</v>
      </c>
      <c r="B176" s="8">
        <v>43729</v>
      </c>
      <c r="C176" t="s">
        <v>5974</v>
      </c>
      <c r="D176" t="s">
        <v>6139</v>
      </c>
      <c r="E176">
        <v>1</v>
      </c>
      <c r="F176" t="s">
        <v>5975</v>
      </c>
      <c r="G176" t="s">
        <v>6228</v>
      </c>
      <c r="H176" t="s">
        <v>19</v>
      </c>
      <c r="I176" t="s">
        <v>6194</v>
      </c>
      <c r="J176" t="s">
        <v>6188</v>
      </c>
      <c r="K176">
        <v>0.2</v>
      </c>
      <c r="L176">
        <v>4.125</v>
      </c>
      <c r="M176">
        <v>4.125</v>
      </c>
      <c r="N176" t="s">
        <v>6222</v>
      </c>
      <c r="O176" t="s">
        <v>6226</v>
      </c>
    </row>
    <row r="177" spans="1:15" x14ac:dyDescent="0.25">
      <c r="A177" t="s">
        <v>4792</v>
      </c>
      <c r="B177" s="8">
        <v>43714</v>
      </c>
      <c r="C177" t="s">
        <v>4793</v>
      </c>
      <c r="D177" t="s">
        <v>6171</v>
      </c>
      <c r="E177">
        <v>6</v>
      </c>
      <c r="F177" t="s">
        <v>4794</v>
      </c>
      <c r="G177" t="s">
        <v>4795</v>
      </c>
      <c r="H177" t="s">
        <v>19</v>
      </c>
      <c r="I177" t="s">
        <v>6194</v>
      </c>
      <c r="J177" t="s">
        <v>6186</v>
      </c>
      <c r="K177">
        <v>0.5</v>
      </c>
      <c r="L177">
        <v>8.91</v>
      </c>
      <c r="M177">
        <v>53.46</v>
      </c>
      <c r="N177" t="s">
        <v>6222</v>
      </c>
      <c r="O177" t="s">
        <v>6230</v>
      </c>
    </row>
    <row r="178" spans="1:15" x14ac:dyDescent="0.25">
      <c r="A178" t="s">
        <v>3106</v>
      </c>
      <c r="B178" s="8">
        <v>43730</v>
      </c>
      <c r="C178" t="s">
        <v>3107</v>
      </c>
      <c r="D178" t="s">
        <v>6141</v>
      </c>
      <c r="E178">
        <v>2</v>
      </c>
      <c r="F178" t="s">
        <v>3108</v>
      </c>
      <c r="G178" t="s">
        <v>3109</v>
      </c>
      <c r="H178" t="s">
        <v>318</v>
      </c>
      <c r="I178" t="s">
        <v>6194</v>
      </c>
      <c r="J178" t="s">
        <v>6188</v>
      </c>
      <c r="K178">
        <v>0.5</v>
      </c>
      <c r="L178">
        <v>8.25</v>
      </c>
      <c r="M178">
        <v>16.5</v>
      </c>
      <c r="N178" t="s">
        <v>6222</v>
      </c>
      <c r="O178" t="s">
        <v>6226</v>
      </c>
    </row>
    <row r="179" spans="1:15" x14ac:dyDescent="0.25">
      <c r="A179" t="s">
        <v>5839</v>
      </c>
      <c r="B179" s="8">
        <v>43719</v>
      </c>
      <c r="C179" t="s">
        <v>5840</v>
      </c>
      <c r="D179" t="s">
        <v>6169</v>
      </c>
      <c r="E179">
        <v>3</v>
      </c>
      <c r="F179" t="s">
        <v>5841</v>
      </c>
      <c r="G179" t="s">
        <v>6228</v>
      </c>
      <c r="H179" t="s">
        <v>19</v>
      </c>
      <c r="I179" t="s">
        <v>6195</v>
      </c>
      <c r="J179" t="s">
        <v>6187</v>
      </c>
      <c r="K179">
        <v>0.2</v>
      </c>
      <c r="L179">
        <v>3.8849999999999998</v>
      </c>
      <c r="M179">
        <v>11.654999999999999</v>
      </c>
      <c r="N179" t="s">
        <v>6223</v>
      </c>
      <c r="O179" t="s">
        <v>6225</v>
      </c>
    </row>
    <row r="180" spans="1:15" x14ac:dyDescent="0.25">
      <c r="A180" t="s">
        <v>784</v>
      </c>
      <c r="B180" s="8">
        <v>43719</v>
      </c>
      <c r="C180" t="s">
        <v>785</v>
      </c>
      <c r="D180" t="s">
        <v>6164</v>
      </c>
      <c r="E180">
        <v>2</v>
      </c>
      <c r="F180" t="s">
        <v>786</v>
      </c>
      <c r="G180" t="s">
        <v>787</v>
      </c>
      <c r="H180" t="s">
        <v>28</v>
      </c>
      <c r="I180" t="s">
        <v>6195</v>
      </c>
      <c r="J180" t="s">
        <v>6186</v>
      </c>
      <c r="K180">
        <v>1</v>
      </c>
      <c r="L180">
        <v>15.85</v>
      </c>
      <c r="M180">
        <v>31.7</v>
      </c>
      <c r="N180" t="s">
        <v>6223</v>
      </c>
      <c r="O180" t="s">
        <v>6230</v>
      </c>
    </row>
    <row r="181" spans="1:15" x14ac:dyDescent="0.25">
      <c r="A181" t="s">
        <v>5222</v>
      </c>
      <c r="B181" s="8">
        <v>43715</v>
      </c>
      <c r="C181" t="s">
        <v>5113</v>
      </c>
      <c r="D181" t="s">
        <v>6181</v>
      </c>
      <c r="E181">
        <v>3</v>
      </c>
      <c r="F181" t="s">
        <v>5114</v>
      </c>
      <c r="G181" t="s">
        <v>6228</v>
      </c>
      <c r="H181" t="e">
        <v>#N/A</v>
      </c>
      <c r="I181" t="s">
        <v>6195</v>
      </c>
      <c r="J181" t="s">
        <v>6188</v>
      </c>
      <c r="K181">
        <v>1</v>
      </c>
      <c r="L181">
        <v>14.55</v>
      </c>
      <c r="M181">
        <v>43.650000000000006</v>
      </c>
      <c r="N181" t="s">
        <v>6223</v>
      </c>
      <c r="O181" t="s">
        <v>6226</v>
      </c>
    </row>
    <row r="182" spans="1:15" x14ac:dyDescent="0.25">
      <c r="A182" t="s">
        <v>954</v>
      </c>
      <c r="B182" s="8">
        <v>43721</v>
      </c>
      <c r="C182" t="s">
        <v>955</v>
      </c>
      <c r="D182" t="s">
        <v>6181</v>
      </c>
      <c r="E182">
        <v>3</v>
      </c>
      <c r="F182" t="s">
        <v>956</v>
      </c>
      <c r="G182" t="s">
        <v>957</v>
      </c>
      <c r="H182" t="s">
        <v>318</v>
      </c>
      <c r="I182" t="s">
        <v>6195</v>
      </c>
      <c r="J182" t="s">
        <v>6188</v>
      </c>
      <c r="K182">
        <v>1</v>
      </c>
      <c r="L182">
        <v>14.55</v>
      </c>
      <c r="M182">
        <v>43.650000000000006</v>
      </c>
      <c r="N182" t="s">
        <v>6223</v>
      </c>
      <c r="O182" t="s">
        <v>6226</v>
      </c>
    </row>
    <row r="183" spans="1:15" x14ac:dyDescent="0.25">
      <c r="A183" t="s">
        <v>4445</v>
      </c>
      <c r="B183" s="8">
        <v>43736</v>
      </c>
      <c r="C183" t="s">
        <v>4446</v>
      </c>
      <c r="D183" t="s">
        <v>6161</v>
      </c>
      <c r="E183">
        <v>2</v>
      </c>
      <c r="F183" t="s">
        <v>4447</v>
      </c>
      <c r="G183" t="s">
        <v>4448</v>
      </c>
      <c r="H183" t="s">
        <v>19</v>
      </c>
      <c r="I183" t="s">
        <v>6195</v>
      </c>
      <c r="J183" t="s">
        <v>6186</v>
      </c>
      <c r="K183">
        <v>0.2</v>
      </c>
      <c r="L183">
        <v>4.7549999999999999</v>
      </c>
      <c r="M183">
        <v>9.51</v>
      </c>
      <c r="N183" t="s">
        <v>6223</v>
      </c>
      <c r="O183" t="s">
        <v>6230</v>
      </c>
    </row>
    <row r="184" spans="1:15" x14ac:dyDescent="0.25">
      <c r="A184" t="s">
        <v>4399</v>
      </c>
      <c r="B184" s="8">
        <v>43720</v>
      </c>
      <c r="C184" t="s">
        <v>4400</v>
      </c>
      <c r="D184" t="s">
        <v>6143</v>
      </c>
      <c r="E184">
        <v>1</v>
      </c>
      <c r="F184" t="s">
        <v>4401</v>
      </c>
      <c r="G184" t="s">
        <v>4402</v>
      </c>
      <c r="H184" t="s">
        <v>19</v>
      </c>
      <c r="I184" t="s">
        <v>6195</v>
      </c>
      <c r="J184" t="s">
        <v>6187</v>
      </c>
      <c r="K184">
        <v>0.5</v>
      </c>
      <c r="L184">
        <v>7.77</v>
      </c>
      <c r="M184">
        <v>7.77</v>
      </c>
      <c r="N184" t="s">
        <v>6223</v>
      </c>
      <c r="O184" t="s">
        <v>6225</v>
      </c>
    </row>
    <row r="185" spans="1:15" x14ac:dyDescent="0.25">
      <c r="A185" t="s">
        <v>3289</v>
      </c>
      <c r="B185" s="8">
        <v>43710</v>
      </c>
      <c r="C185" t="s">
        <v>3290</v>
      </c>
      <c r="D185" t="s">
        <v>6170</v>
      </c>
      <c r="E185">
        <v>5</v>
      </c>
      <c r="F185" t="s">
        <v>3291</v>
      </c>
      <c r="G185" t="s">
        <v>6228</v>
      </c>
      <c r="H185" t="s">
        <v>19</v>
      </c>
      <c r="I185" t="s">
        <v>6195</v>
      </c>
      <c r="J185" t="s">
        <v>6186</v>
      </c>
      <c r="K185">
        <v>0.5</v>
      </c>
      <c r="L185">
        <v>9.51</v>
      </c>
      <c r="M185">
        <v>47.55</v>
      </c>
      <c r="N185" t="s">
        <v>6223</v>
      </c>
      <c r="O185" t="s">
        <v>6230</v>
      </c>
    </row>
    <row r="186" spans="1:15" x14ac:dyDescent="0.25">
      <c r="A186" t="s">
        <v>2727</v>
      </c>
      <c r="B186" s="8">
        <v>43720</v>
      </c>
      <c r="C186" t="s">
        <v>2728</v>
      </c>
      <c r="D186" t="s">
        <v>6169</v>
      </c>
      <c r="E186">
        <v>4</v>
      </c>
      <c r="F186" t="s">
        <v>2729</v>
      </c>
      <c r="G186" t="s">
        <v>2730</v>
      </c>
      <c r="H186" t="s">
        <v>19</v>
      </c>
      <c r="I186" t="s">
        <v>6195</v>
      </c>
      <c r="J186" t="s">
        <v>6187</v>
      </c>
      <c r="K186">
        <v>0.2</v>
      </c>
      <c r="L186">
        <v>3.8849999999999998</v>
      </c>
      <c r="M186">
        <v>15.54</v>
      </c>
      <c r="N186" t="s">
        <v>6223</v>
      </c>
      <c r="O186" t="s">
        <v>6225</v>
      </c>
    </row>
    <row r="187" spans="1:15" x14ac:dyDescent="0.25">
      <c r="A187" t="s">
        <v>490</v>
      </c>
      <c r="B187" s="8">
        <v>43713</v>
      </c>
      <c r="C187" t="s">
        <v>491</v>
      </c>
      <c r="D187" t="s">
        <v>6138</v>
      </c>
      <c r="E187">
        <v>2</v>
      </c>
      <c r="F187" t="s">
        <v>492</v>
      </c>
      <c r="G187" t="s">
        <v>493</v>
      </c>
      <c r="H187" t="s">
        <v>19</v>
      </c>
      <c r="I187" t="s">
        <v>6192</v>
      </c>
      <c r="J187" t="s">
        <v>6188</v>
      </c>
      <c r="K187">
        <v>0.5</v>
      </c>
      <c r="L187">
        <v>5.97</v>
      </c>
      <c r="M187">
        <v>11.94</v>
      </c>
      <c r="N187" t="s">
        <v>6224</v>
      </c>
      <c r="O187" t="s">
        <v>6226</v>
      </c>
    </row>
    <row r="188" spans="1:15" x14ac:dyDescent="0.25">
      <c r="A188" t="s">
        <v>541</v>
      </c>
      <c r="B188" s="8">
        <v>43713</v>
      </c>
      <c r="C188" t="s">
        <v>542</v>
      </c>
      <c r="D188" t="s">
        <v>6146</v>
      </c>
      <c r="E188">
        <v>1</v>
      </c>
      <c r="F188" t="s">
        <v>543</v>
      </c>
      <c r="G188" t="s">
        <v>544</v>
      </c>
      <c r="H188" t="s">
        <v>19</v>
      </c>
      <c r="I188" t="s">
        <v>6192</v>
      </c>
      <c r="J188" t="s">
        <v>6188</v>
      </c>
      <c r="K188">
        <v>0.2</v>
      </c>
      <c r="L188">
        <v>2.9849999999999999</v>
      </c>
      <c r="M188">
        <v>2.9849999999999999</v>
      </c>
      <c r="N188" t="s">
        <v>6224</v>
      </c>
      <c r="O188" t="s">
        <v>6226</v>
      </c>
    </row>
    <row r="189" spans="1:15" x14ac:dyDescent="0.25">
      <c r="A189" t="s">
        <v>5944</v>
      </c>
      <c r="B189" s="8">
        <v>43724</v>
      </c>
      <c r="C189" t="s">
        <v>5945</v>
      </c>
      <c r="D189" t="s">
        <v>6138</v>
      </c>
      <c r="E189">
        <v>3</v>
      </c>
      <c r="F189" t="s">
        <v>5946</v>
      </c>
      <c r="G189" t="s">
        <v>5947</v>
      </c>
      <c r="H189" t="s">
        <v>19</v>
      </c>
      <c r="I189" t="s">
        <v>6192</v>
      </c>
      <c r="J189" t="s">
        <v>6188</v>
      </c>
      <c r="K189">
        <v>0.5</v>
      </c>
      <c r="L189">
        <v>5.97</v>
      </c>
      <c r="M189">
        <v>17.91</v>
      </c>
      <c r="N189" t="s">
        <v>6224</v>
      </c>
      <c r="O189" t="s">
        <v>6226</v>
      </c>
    </row>
    <row r="190" spans="1:15" x14ac:dyDescent="0.25">
      <c r="A190" t="s">
        <v>5649</v>
      </c>
      <c r="B190" s="8">
        <v>43726</v>
      </c>
      <c r="C190" t="s">
        <v>5650</v>
      </c>
      <c r="D190" t="s">
        <v>6151</v>
      </c>
      <c r="E190">
        <v>6</v>
      </c>
      <c r="F190" t="s">
        <v>5651</v>
      </c>
      <c r="G190" t="s">
        <v>6228</v>
      </c>
      <c r="H190" t="s">
        <v>19</v>
      </c>
      <c r="I190" t="s">
        <v>6192</v>
      </c>
      <c r="J190" t="s">
        <v>6188</v>
      </c>
      <c r="K190">
        <v>1</v>
      </c>
      <c r="L190">
        <v>9.9499999999999993</v>
      </c>
      <c r="M190">
        <v>59.699999999999996</v>
      </c>
      <c r="N190" t="s">
        <v>6224</v>
      </c>
      <c r="O190" t="s">
        <v>6226</v>
      </c>
    </row>
    <row r="191" spans="1:15" x14ac:dyDescent="0.25">
      <c r="A191" t="s">
        <v>5427</v>
      </c>
      <c r="B191" s="8">
        <v>43725</v>
      </c>
      <c r="C191" t="s">
        <v>5428</v>
      </c>
      <c r="D191" t="s">
        <v>6174</v>
      </c>
      <c r="E191">
        <v>4</v>
      </c>
      <c r="F191" t="s">
        <v>5429</v>
      </c>
      <c r="G191" t="s">
        <v>5430</v>
      </c>
      <c r="H191" t="s">
        <v>19</v>
      </c>
      <c r="I191" t="s">
        <v>6192</v>
      </c>
      <c r="J191" t="s">
        <v>6186</v>
      </c>
      <c r="K191">
        <v>2.5</v>
      </c>
      <c r="L191">
        <v>27.484999999999996</v>
      </c>
      <c r="M191">
        <v>109.93999999999998</v>
      </c>
      <c r="N191" t="s">
        <v>6224</v>
      </c>
      <c r="O191" t="s">
        <v>6230</v>
      </c>
    </row>
    <row r="192" spans="1:15" x14ac:dyDescent="0.25">
      <c r="A192" t="s">
        <v>5362</v>
      </c>
      <c r="B192" s="8">
        <v>43725</v>
      </c>
      <c r="C192" t="s">
        <v>5363</v>
      </c>
      <c r="D192" t="s">
        <v>6138</v>
      </c>
      <c r="E192">
        <v>1</v>
      </c>
      <c r="F192" t="s">
        <v>5364</v>
      </c>
      <c r="G192" t="s">
        <v>5365</v>
      </c>
      <c r="H192" t="s">
        <v>19</v>
      </c>
      <c r="I192" t="s">
        <v>6192</v>
      </c>
      <c r="J192" t="s">
        <v>6188</v>
      </c>
      <c r="K192">
        <v>0.5</v>
      </c>
      <c r="L192">
        <v>5.97</v>
      </c>
      <c r="M192">
        <v>5.97</v>
      </c>
      <c r="N192" t="s">
        <v>6224</v>
      </c>
      <c r="O192" t="s">
        <v>6226</v>
      </c>
    </row>
    <row r="193" spans="1:15" x14ac:dyDescent="0.25">
      <c r="A193" t="s">
        <v>784</v>
      </c>
      <c r="B193" s="8">
        <v>43719</v>
      </c>
      <c r="C193" t="s">
        <v>785</v>
      </c>
      <c r="D193" t="s">
        <v>6146</v>
      </c>
      <c r="E193">
        <v>5</v>
      </c>
      <c r="F193" t="s">
        <v>786</v>
      </c>
      <c r="G193" t="s">
        <v>787</v>
      </c>
      <c r="H193" t="s">
        <v>28</v>
      </c>
      <c r="I193" t="s">
        <v>6192</v>
      </c>
      <c r="J193" t="s">
        <v>6188</v>
      </c>
      <c r="K193">
        <v>0.2</v>
      </c>
      <c r="L193">
        <v>2.9849999999999999</v>
      </c>
      <c r="M193">
        <v>14.924999999999999</v>
      </c>
      <c r="N193" t="s">
        <v>6224</v>
      </c>
      <c r="O193" t="s">
        <v>6226</v>
      </c>
    </row>
    <row r="194" spans="1:15" x14ac:dyDescent="0.25">
      <c r="A194" t="s">
        <v>4191</v>
      </c>
      <c r="B194" s="8">
        <v>43728</v>
      </c>
      <c r="C194" t="s">
        <v>4192</v>
      </c>
      <c r="D194" t="s">
        <v>6151</v>
      </c>
      <c r="E194">
        <v>2</v>
      </c>
      <c r="F194" t="s">
        <v>4193</v>
      </c>
      <c r="G194" t="s">
        <v>4194</v>
      </c>
      <c r="H194" t="s">
        <v>19</v>
      </c>
      <c r="I194" t="s">
        <v>6192</v>
      </c>
      <c r="J194" t="s">
        <v>6188</v>
      </c>
      <c r="K194">
        <v>1</v>
      </c>
      <c r="L194">
        <v>9.9499999999999993</v>
      </c>
      <c r="M194">
        <v>19.899999999999999</v>
      </c>
      <c r="N194" t="s">
        <v>6224</v>
      </c>
      <c r="O194" t="s">
        <v>6226</v>
      </c>
    </row>
    <row r="195" spans="1:15" x14ac:dyDescent="0.25">
      <c r="A195" t="s">
        <v>3622</v>
      </c>
      <c r="B195" s="8">
        <v>43737</v>
      </c>
      <c r="C195" t="s">
        <v>3623</v>
      </c>
      <c r="D195" t="s">
        <v>6142</v>
      </c>
      <c r="E195">
        <v>2</v>
      </c>
      <c r="F195" t="s">
        <v>3624</v>
      </c>
      <c r="G195" t="s">
        <v>6228</v>
      </c>
      <c r="H195" t="s">
        <v>28</v>
      </c>
      <c r="I195" t="s">
        <v>6192</v>
      </c>
      <c r="J195" t="s">
        <v>6186</v>
      </c>
      <c r="K195">
        <v>1</v>
      </c>
      <c r="L195">
        <v>11.95</v>
      </c>
      <c r="M195">
        <v>23.9</v>
      </c>
      <c r="N195" t="s">
        <v>6224</v>
      </c>
      <c r="O195" t="s">
        <v>6230</v>
      </c>
    </row>
    <row r="196" spans="1:15" x14ac:dyDescent="0.25">
      <c r="A196" t="s">
        <v>1379</v>
      </c>
      <c r="B196" s="8">
        <v>43714</v>
      </c>
      <c r="C196" t="s">
        <v>1380</v>
      </c>
      <c r="D196" t="s">
        <v>6149</v>
      </c>
      <c r="E196">
        <v>6</v>
      </c>
      <c r="F196" t="s">
        <v>1381</v>
      </c>
      <c r="G196" t="s">
        <v>6228</v>
      </c>
      <c r="H196" t="s">
        <v>19</v>
      </c>
      <c r="I196" t="s">
        <v>6192</v>
      </c>
      <c r="J196" t="s">
        <v>6187</v>
      </c>
      <c r="K196">
        <v>1</v>
      </c>
      <c r="L196">
        <v>8.9499999999999993</v>
      </c>
      <c r="M196">
        <v>53.699999999999996</v>
      </c>
      <c r="N196" t="s">
        <v>6224</v>
      </c>
      <c r="O196" t="s">
        <v>6225</v>
      </c>
    </row>
    <row r="197" spans="1:15" x14ac:dyDescent="0.25">
      <c r="A197" t="s">
        <v>2369</v>
      </c>
      <c r="B197" s="8">
        <v>43712</v>
      </c>
      <c r="C197" t="s">
        <v>2370</v>
      </c>
      <c r="D197" t="s">
        <v>6146</v>
      </c>
      <c r="E197">
        <v>4</v>
      </c>
      <c r="F197" t="s">
        <v>2371</v>
      </c>
      <c r="G197" t="s">
        <v>2372</v>
      </c>
      <c r="H197" t="s">
        <v>19</v>
      </c>
      <c r="I197" t="s">
        <v>6192</v>
      </c>
      <c r="J197" t="s">
        <v>6188</v>
      </c>
      <c r="K197">
        <v>0.2</v>
      </c>
      <c r="L197">
        <v>2.9849999999999999</v>
      </c>
      <c r="M197">
        <v>11.94</v>
      </c>
      <c r="N197" t="s">
        <v>6224</v>
      </c>
      <c r="O197" t="s">
        <v>6226</v>
      </c>
    </row>
    <row r="198" spans="1:15" x14ac:dyDescent="0.25">
      <c r="A198" t="s">
        <v>6122</v>
      </c>
      <c r="B198" s="8">
        <v>43749</v>
      </c>
      <c r="C198" t="s">
        <v>6118</v>
      </c>
      <c r="D198" t="s">
        <v>6157</v>
      </c>
      <c r="E198">
        <v>4</v>
      </c>
      <c r="F198" t="s">
        <v>6119</v>
      </c>
      <c r="G198" t="s">
        <v>6228</v>
      </c>
      <c r="H198" t="s">
        <v>19</v>
      </c>
      <c r="I198" t="s">
        <v>6193</v>
      </c>
      <c r="J198" t="s">
        <v>6188</v>
      </c>
      <c r="K198">
        <v>0.2</v>
      </c>
      <c r="L198">
        <v>3.375</v>
      </c>
      <c r="M198">
        <v>13.5</v>
      </c>
      <c r="N198" t="s">
        <v>6221</v>
      </c>
      <c r="O198" t="s">
        <v>6226</v>
      </c>
    </row>
    <row r="199" spans="1:15" x14ac:dyDescent="0.25">
      <c r="A199" t="s">
        <v>587</v>
      </c>
      <c r="B199" s="8">
        <v>43757</v>
      </c>
      <c r="C199" t="s">
        <v>588</v>
      </c>
      <c r="D199" t="s">
        <v>6140</v>
      </c>
      <c r="E199">
        <v>6</v>
      </c>
      <c r="F199" t="s">
        <v>589</v>
      </c>
      <c r="G199" t="s">
        <v>590</v>
      </c>
      <c r="H199" t="s">
        <v>19</v>
      </c>
      <c r="I199" t="s">
        <v>6193</v>
      </c>
      <c r="J199" t="s">
        <v>6186</v>
      </c>
      <c r="K199">
        <v>0.5</v>
      </c>
      <c r="L199">
        <v>7.77</v>
      </c>
      <c r="M199">
        <v>46.62</v>
      </c>
      <c r="N199" t="s">
        <v>6221</v>
      </c>
      <c r="O199" t="s">
        <v>6230</v>
      </c>
    </row>
    <row r="200" spans="1:15" x14ac:dyDescent="0.25">
      <c r="A200" t="s">
        <v>643</v>
      </c>
      <c r="B200" s="8">
        <v>43746</v>
      </c>
      <c r="C200" t="s">
        <v>644</v>
      </c>
      <c r="D200" t="s">
        <v>6152</v>
      </c>
      <c r="E200">
        <v>5</v>
      </c>
      <c r="F200" t="s">
        <v>645</v>
      </c>
      <c r="G200" t="s">
        <v>646</v>
      </c>
      <c r="H200" t="s">
        <v>318</v>
      </c>
      <c r="I200" t="s">
        <v>6193</v>
      </c>
      <c r="J200" t="s">
        <v>6186</v>
      </c>
      <c r="K200">
        <v>2.5</v>
      </c>
      <c r="L200">
        <v>29.784999999999997</v>
      </c>
      <c r="M200">
        <v>148.92499999999998</v>
      </c>
      <c r="N200" t="s">
        <v>6221</v>
      </c>
      <c r="O200" t="s">
        <v>6230</v>
      </c>
    </row>
    <row r="201" spans="1:15" x14ac:dyDescent="0.25">
      <c r="A201" t="s">
        <v>5374</v>
      </c>
      <c r="B201" s="8">
        <v>43759</v>
      </c>
      <c r="C201" t="s">
        <v>5375</v>
      </c>
      <c r="D201" t="s">
        <v>6178</v>
      </c>
      <c r="E201">
        <v>6</v>
      </c>
      <c r="F201" t="s">
        <v>5376</v>
      </c>
      <c r="G201" t="s">
        <v>5377</v>
      </c>
      <c r="H201" t="s">
        <v>318</v>
      </c>
      <c r="I201" t="s">
        <v>6193</v>
      </c>
      <c r="J201" t="s">
        <v>6187</v>
      </c>
      <c r="K201">
        <v>2.5</v>
      </c>
      <c r="L201">
        <v>22.884999999999998</v>
      </c>
      <c r="M201">
        <v>137.31</v>
      </c>
      <c r="N201" t="s">
        <v>6221</v>
      </c>
      <c r="O201" t="s">
        <v>6225</v>
      </c>
    </row>
    <row r="202" spans="1:15" x14ac:dyDescent="0.25">
      <c r="A202" t="s">
        <v>4705</v>
      </c>
      <c r="B202" s="8">
        <v>43741</v>
      </c>
      <c r="C202" t="s">
        <v>4706</v>
      </c>
      <c r="D202" t="s">
        <v>6155</v>
      </c>
      <c r="E202">
        <v>3</v>
      </c>
      <c r="F202" t="s">
        <v>4707</v>
      </c>
      <c r="G202" t="s">
        <v>4708</v>
      </c>
      <c r="H202" t="s">
        <v>318</v>
      </c>
      <c r="I202" t="s">
        <v>6193</v>
      </c>
      <c r="J202" t="s">
        <v>6188</v>
      </c>
      <c r="K202">
        <v>0.5</v>
      </c>
      <c r="L202">
        <v>6.75</v>
      </c>
      <c r="M202">
        <v>20.25</v>
      </c>
      <c r="N202" t="s">
        <v>6221</v>
      </c>
      <c r="O202" t="s">
        <v>6226</v>
      </c>
    </row>
    <row r="203" spans="1:15" x14ac:dyDescent="0.25">
      <c r="A203" t="s">
        <v>3548</v>
      </c>
      <c r="B203" s="8">
        <v>43750</v>
      </c>
      <c r="C203" t="s">
        <v>3549</v>
      </c>
      <c r="D203" t="s">
        <v>6168</v>
      </c>
      <c r="E203">
        <v>1</v>
      </c>
      <c r="F203" t="s">
        <v>3550</v>
      </c>
      <c r="G203" t="s">
        <v>6228</v>
      </c>
      <c r="H203" t="s">
        <v>318</v>
      </c>
      <c r="I203" t="s">
        <v>6193</v>
      </c>
      <c r="J203" t="s">
        <v>6187</v>
      </c>
      <c r="K203">
        <v>1</v>
      </c>
      <c r="L203">
        <v>9.9499999999999993</v>
      </c>
      <c r="M203">
        <v>9.9499999999999993</v>
      </c>
      <c r="N203" t="s">
        <v>6221</v>
      </c>
      <c r="O203" t="s">
        <v>6225</v>
      </c>
    </row>
    <row r="204" spans="1:15" x14ac:dyDescent="0.25">
      <c r="A204" t="s">
        <v>1367</v>
      </c>
      <c r="B204" s="8">
        <v>43764</v>
      </c>
      <c r="C204" t="s">
        <v>1368</v>
      </c>
      <c r="D204" t="s">
        <v>6175</v>
      </c>
      <c r="E204">
        <v>3</v>
      </c>
      <c r="F204" t="s">
        <v>1369</v>
      </c>
      <c r="G204" t="s">
        <v>1370</v>
      </c>
      <c r="H204" t="s">
        <v>19</v>
      </c>
      <c r="I204" t="s">
        <v>6193</v>
      </c>
      <c r="J204" t="s">
        <v>6188</v>
      </c>
      <c r="K204">
        <v>1</v>
      </c>
      <c r="L204">
        <v>11.25</v>
      </c>
      <c r="M204">
        <v>33.75</v>
      </c>
      <c r="N204" t="s">
        <v>6221</v>
      </c>
      <c r="O204" t="s">
        <v>6226</v>
      </c>
    </row>
    <row r="205" spans="1:15" x14ac:dyDescent="0.25">
      <c r="A205" t="s">
        <v>1492</v>
      </c>
      <c r="B205" s="8">
        <v>43746</v>
      </c>
      <c r="C205" t="s">
        <v>1493</v>
      </c>
      <c r="D205" t="s">
        <v>6140</v>
      </c>
      <c r="E205">
        <v>2</v>
      </c>
      <c r="F205" t="s">
        <v>1494</v>
      </c>
      <c r="G205" t="s">
        <v>1495</v>
      </c>
      <c r="H205" t="s">
        <v>19</v>
      </c>
      <c r="I205" t="s">
        <v>6193</v>
      </c>
      <c r="J205" t="s">
        <v>6186</v>
      </c>
      <c r="K205">
        <v>0.5</v>
      </c>
      <c r="L205">
        <v>7.77</v>
      </c>
      <c r="M205">
        <v>15.54</v>
      </c>
      <c r="N205" t="s">
        <v>6221</v>
      </c>
      <c r="O205" t="s">
        <v>6230</v>
      </c>
    </row>
    <row r="206" spans="1:15" x14ac:dyDescent="0.25">
      <c r="A206" t="s">
        <v>2193</v>
      </c>
      <c r="B206" s="8">
        <v>43762</v>
      </c>
      <c r="C206" t="s">
        <v>2194</v>
      </c>
      <c r="D206" t="s">
        <v>6157</v>
      </c>
      <c r="E206">
        <v>1</v>
      </c>
      <c r="F206" t="s">
        <v>2195</v>
      </c>
      <c r="G206" t="s">
        <v>2196</v>
      </c>
      <c r="H206" t="s">
        <v>19</v>
      </c>
      <c r="I206" t="s">
        <v>6193</v>
      </c>
      <c r="J206" t="s">
        <v>6188</v>
      </c>
      <c r="K206">
        <v>0.2</v>
      </c>
      <c r="L206">
        <v>3.375</v>
      </c>
      <c r="M206">
        <v>3.375</v>
      </c>
      <c r="N206" t="s">
        <v>6221</v>
      </c>
      <c r="O206" t="s">
        <v>6226</v>
      </c>
    </row>
    <row r="207" spans="1:15" x14ac:dyDescent="0.25">
      <c r="A207" t="s">
        <v>2107</v>
      </c>
      <c r="B207" s="8">
        <v>43755</v>
      </c>
      <c r="C207" t="s">
        <v>2108</v>
      </c>
      <c r="D207" t="s">
        <v>6152</v>
      </c>
      <c r="E207">
        <v>4</v>
      </c>
      <c r="F207" t="s">
        <v>2109</v>
      </c>
      <c r="G207" t="s">
        <v>2110</v>
      </c>
      <c r="H207" t="s">
        <v>19</v>
      </c>
      <c r="I207" t="s">
        <v>6193</v>
      </c>
      <c r="J207" t="s">
        <v>6186</v>
      </c>
      <c r="K207">
        <v>2.5</v>
      </c>
      <c r="L207">
        <v>29.784999999999997</v>
      </c>
      <c r="M207">
        <v>119.13999999999999</v>
      </c>
      <c r="N207" t="s">
        <v>6221</v>
      </c>
      <c r="O207" t="s">
        <v>6230</v>
      </c>
    </row>
    <row r="208" spans="1:15" x14ac:dyDescent="0.25">
      <c r="A208" t="s">
        <v>5709</v>
      </c>
      <c r="B208" s="8">
        <v>43746</v>
      </c>
      <c r="C208" t="s">
        <v>5710</v>
      </c>
      <c r="D208" t="s">
        <v>6185</v>
      </c>
      <c r="E208">
        <v>1</v>
      </c>
      <c r="F208" t="s">
        <v>5711</v>
      </c>
      <c r="G208" t="s">
        <v>5712</v>
      </c>
      <c r="H208" t="s">
        <v>19</v>
      </c>
      <c r="I208" t="s">
        <v>6194</v>
      </c>
      <c r="J208" t="s">
        <v>6187</v>
      </c>
      <c r="K208">
        <v>1</v>
      </c>
      <c r="L208">
        <v>12.15</v>
      </c>
      <c r="M208">
        <v>12.15</v>
      </c>
      <c r="N208" t="s">
        <v>6222</v>
      </c>
      <c r="O208" t="s">
        <v>6225</v>
      </c>
    </row>
    <row r="209" spans="1:15" x14ac:dyDescent="0.25">
      <c r="A209" t="s">
        <v>1152</v>
      </c>
      <c r="B209" s="8">
        <v>43760</v>
      </c>
      <c r="C209" t="s">
        <v>1153</v>
      </c>
      <c r="D209" t="s">
        <v>6144</v>
      </c>
      <c r="E209">
        <v>3</v>
      </c>
      <c r="F209" t="s">
        <v>1154</v>
      </c>
      <c r="G209" t="s">
        <v>1155</v>
      </c>
      <c r="H209" t="s">
        <v>19</v>
      </c>
      <c r="I209" t="s">
        <v>6194</v>
      </c>
      <c r="J209" t="s">
        <v>6187</v>
      </c>
      <c r="K209">
        <v>0.2</v>
      </c>
      <c r="L209">
        <v>3.645</v>
      </c>
      <c r="M209">
        <v>10.935</v>
      </c>
      <c r="N209" t="s">
        <v>6222</v>
      </c>
      <c r="O209" t="s">
        <v>6225</v>
      </c>
    </row>
    <row r="210" spans="1:15" x14ac:dyDescent="0.25">
      <c r="A210" t="s">
        <v>3939</v>
      </c>
      <c r="B210" s="8">
        <v>43739</v>
      </c>
      <c r="C210" t="s">
        <v>3940</v>
      </c>
      <c r="D210" t="s">
        <v>6148</v>
      </c>
      <c r="E210">
        <v>2</v>
      </c>
      <c r="F210" t="s">
        <v>3941</v>
      </c>
      <c r="G210" t="s">
        <v>3942</v>
      </c>
      <c r="H210" t="s">
        <v>19</v>
      </c>
      <c r="I210" t="s">
        <v>6194</v>
      </c>
      <c r="J210" t="s">
        <v>6186</v>
      </c>
      <c r="K210">
        <v>1</v>
      </c>
      <c r="L210">
        <v>14.85</v>
      </c>
      <c r="M210">
        <v>29.7</v>
      </c>
      <c r="N210" t="s">
        <v>6222</v>
      </c>
      <c r="O210" t="s">
        <v>6230</v>
      </c>
    </row>
    <row r="211" spans="1:15" x14ac:dyDescent="0.25">
      <c r="A211" t="s">
        <v>2414</v>
      </c>
      <c r="B211" s="8">
        <v>43751</v>
      </c>
      <c r="C211" t="s">
        <v>2415</v>
      </c>
      <c r="D211" t="s">
        <v>6176</v>
      </c>
      <c r="E211">
        <v>2</v>
      </c>
      <c r="F211" t="s">
        <v>2416</v>
      </c>
      <c r="G211" t="s">
        <v>2417</v>
      </c>
      <c r="H211" t="s">
        <v>19</v>
      </c>
      <c r="I211" t="s">
        <v>6194</v>
      </c>
      <c r="J211" t="s">
        <v>6186</v>
      </c>
      <c r="K211">
        <v>0.2</v>
      </c>
      <c r="L211">
        <v>4.4550000000000001</v>
      </c>
      <c r="M211">
        <v>8.91</v>
      </c>
      <c r="N211" t="s">
        <v>6222</v>
      </c>
      <c r="O211" t="s">
        <v>6230</v>
      </c>
    </row>
    <row r="212" spans="1:15" x14ac:dyDescent="0.25">
      <c r="A212" t="s">
        <v>948</v>
      </c>
      <c r="B212" s="8">
        <v>43763</v>
      </c>
      <c r="C212" t="s">
        <v>949</v>
      </c>
      <c r="D212" t="s">
        <v>6164</v>
      </c>
      <c r="E212">
        <v>3</v>
      </c>
      <c r="F212" t="s">
        <v>950</v>
      </c>
      <c r="G212" t="s">
        <v>951</v>
      </c>
      <c r="H212" t="s">
        <v>19</v>
      </c>
      <c r="I212" t="s">
        <v>6195</v>
      </c>
      <c r="J212" t="s">
        <v>6186</v>
      </c>
      <c r="K212">
        <v>1</v>
      </c>
      <c r="L212">
        <v>15.85</v>
      </c>
      <c r="M212">
        <v>47.55</v>
      </c>
      <c r="N212" t="s">
        <v>6223</v>
      </c>
      <c r="O212" t="s">
        <v>6230</v>
      </c>
    </row>
    <row r="213" spans="1:15" x14ac:dyDescent="0.25">
      <c r="A213" t="s">
        <v>3611</v>
      </c>
      <c r="B213" s="8">
        <v>43761</v>
      </c>
      <c r="C213" t="s">
        <v>3612</v>
      </c>
      <c r="D213" t="s">
        <v>6184</v>
      </c>
      <c r="E213">
        <v>4</v>
      </c>
      <c r="F213" t="s">
        <v>3613</v>
      </c>
      <c r="G213" t="s">
        <v>3614</v>
      </c>
      <c r="H213" t="s">
        <v>28</v>
      </c>
      <c r="I213" t="s">
        <v>6195</v>
      </c>
      <c r="J213" t="s">
        <v>6187</v>
      </c>
      <c r="K213">
        <v>2.5</v>
      </c>
      <c r="L213">
        <v>29.784999999999997</v>
      </c>
      <c r="M213">
        <v>119.13999999999999</v>
      </c>
      <c r="N213" t="s">
        <v>6223</v>
      </c>
      <c r="O213" t="s">
        <v>6225</v>
      </c>
    </row>
    <row r="214" spans="1:15" x14ac:dyDescent="0.25">
      <c r="A214" t="s">
        <v>3260</v>
      </c>
      <c r="B214" s="8">
        <v>43764</v>
      </c>
      <c r="C214" t="s">
        <v>3261</v>
      </c>
      <c r="D214" t="s">
        <v>6169</v>
      </c>
      <c r="E214">
        <v>2</v>
      </c>
      <c r="F214" t="s">
        <v>3262</v>
      </c>
      <c r="G214" t="s">
        <v>3263</v>
      </c>
      <c r="H214" t="s">
        <v>19</v>
      </c>
      <c r="I214" t="s">
        <v>6195</v>
      </c>
      <c r="J214" t="s">
        <v>6187</v>
      </c>
      <c r="K214">
        <v>0.2</v>
      </c>
      <c r="L214">
        <v>3.8849999999999998</v>
      </c>
      <c r="M214">
        <v>7.77</v>
      </c>
      <c r="N214" t="s">
        <v>6223</v>
      </c>
      <c r="O214" t="s">
        <v>6225</v>
      </c>
    </row>
    <row r="215" spans="1:15" x14ac:dyDescent="0.25">
      <c r="A215" t="s">
        <v>1671</v>
      </c>
      <c r="B215" s="8">
        <v>43766</v>
      </c>
      <c r="C215" t="s">
        <v>1672</v>
      </c>
      <c r="D215" t="s">
        <v>6143</v>
      </c>
      <c r="E215">
        <v>4</v>
      </c>
      <c r="F215" t="s">
        <v>1673</v>
      </c>
      <c r="G215" t="s">
        <v>1674</v>
      </c>
      <c r="H215" t="s">
        <v>19</v>
      </c>
      <c r="I215" t="s">
        <v>6195</v>
      </c>
      <c r="J215" t="s">
        <v>6187</v>
      </c>
      <c r="K215">
        <v>0.5</v>
      </c>
      <c r="L215">
        <v>7.77</v>
      </c>
      <c r="M215">
        <v>31.08</v>
      </c>
      <c r="N215" t="s">
        <v>6223</v>
      </c>
      <c r="O215" t="s">
        <v>6225</v>
      </c>
    </row>
    <row r="216" spans="1:15" x14ac:dyDescent="0.25">
      <c r="A216" t="s">
        <v>2414</v>
      </c>
      <c r="B216" s="8">
        <v>43751</v>
      </c>
      <c r="C216" t="s">
        <v>2415</v>
      </c>
      <c r="D216" t="s">
        <v>6169</v>
      </c>
      <c r="E216">
        <v>5</v>
      </c>
      <c r="F216" t="s">
        <v>2416</v>
      </c>
      <c r="G216" t="s">
        <v>2417</v>
      </c>
      <c r="H216" t="s">
        <v>19</v>
      </c>
      <c r="I216" t="s">
        <v>6195</v>
      </c>
      <c r="J216" t="s">
        <v>6187</v>
      </c>
      <c r="K216">
        <v>0.2</v>
      </c>
      <c r="L216">
        <v>3.8849999999999998</v>
      </c>
      <c r="M216">
        <v>19.424999999999997</v>
      </c>
      <c r="N216" t="s">
        <v>6223</v>
      </c>
      <c r="O216" t="s">
        <v>6225</v>
      </c>
    </row>
    <row r="217" spans="1:15" x14ac:dyDescent="0.25">
      <c r="A217" t="s">
        <v>872</v>
      </c>
      <c r="B217" s="8">
        <v>43754</v>
      </c>
      <c r="C217" t="s">
        <v>873</v>
      </c>
      <c r="D217" t="s">
        <v>6174</v>
      </c>
      <c r="E217">
        <v>1</v>
      </c>
      <c r="F217" t="s">
        <v>874</v>
      </c>
      <c r="G217" t="s">
        <v>875</v>
      </c>
      <c r="H217" t="s">
        <v>19</v>
      </c>
      <c r="I217" t="s">
        <v>6192</v>
      </c>
      <c r="J217" t="s">
        <v>6186</v>
      </c>
      <c r="K217">
        <v>2.5</v>
      </c>
      <c r="L217">
        <v>27.484999999999996</v>
      </c>
      <c r="M217">
        <v>27.484999999999996</v>
      </c>
      <c r="N217" t="s">
        <v>6224</v>
      </c>
      <c r="O217" t="s">
        <v>6230</v>
      </c>
    </row>
    <row r="218" spans="1:15" x14ac:dyDescent="0.25">
      <c r="A218" t="s">
        <v>3950</v>
      </c>
      <c r="B218" s="8">
        <v>43761</v>
      </c>
      <c r="C218" t="s">
        <v>3951</v>
      </c>
      <c r="D218" t="s">
        <v>6146</v>
      </c>
      <c r="E218">
        <v>1</v>
      </c>
      <c r="F218" t="s">
        <v>3952</v>
      </c>
      <c r="G218" t="s">
        <v>6228</v>
      </c>
      <c r="H218" t="s">
        <v>19</v>
      </c>
      <c r="I218" t="s">
        <v>6192</v>
      </c>
      <c r="J218" t="s">
        <v>6188</v>
      </c>
      <c r="K218">
        <v>0.2</v>
      </c>
      <c r="L218">
        <v>2.9849999999999999</v>
      </c>
      <c r="M218">
        <v>2.9849999999999999</v>
      </c>
      <c r="N218" t="s">
        <v>6224</v>
      </c>
      <c r="O218" t="s">
        <v>6226</v>
      </c>
    </row>
    <row r="219" spans="1:15" x14ac:dyDescent="0.25">
      <c r="A219" t="s">
        <v>3933</v>
      </c>
      <c r="B219" s="8">
        <v>43743</v>
      </c>
      <c r="C219" t="s">
        <v>3934</v>
      </c>
      <c r="D219" t="s">
        <v>6138</v>
      </c>
      <c r="E219">
        <v>4</v>
      </c>
      <c r="F219" t="s">
        <v>3935</v>
      </c>
      <c r="G219" t="s">
        <v>3936</v>
      </c>
      <c r="H219" t="s">
        <v>19</v>
      </c>
      <c r="I219" t="s">
        <v>6192</v>
      </c>
      <c r="J219" t="s">
        <v>6188</v>
      </c>
      <c r="K219">
        <v>0.5</v>
      </c>
      <c r="L219">
        <v>5.97</v>
      </c>
      <c r="M219">
        <v>23.88</v>
      </c>
      <c r="N219" t="s">
        <v>6224</v>
      </c>
      <c r="O219" t="s">
        <v>6226</v>
      </c>
    </row>
    <row r="220" spans="1:15" x14ac:dyDescent="0.25">
      <c r="A220" t="s">
        <v>3208</v>
      </c>
      <c r="B220" s="8">
        <v>43747</v>
      </c>
      <c r="C220" t="s">
        <v>3209</v>
      </c>
      <c r="D220" t="s">
        <v>6179</v>
      </c>
      <c r="E220">
        <v>2</v>
      </c>
      <c r="F220" t="s">
        <v>3210</v>
      </c>
      <c r="G220" t="s">
        <v>3211</v>
      </c>
      <c r="H220" t="s">
        <v>28</v>
      </c>
      <c r="I220" t="s">
        <v>6192</v>
      </c>
      <c r="J220" t="s">
        <v>6186</v>
      </c>
      <c r="K220">
        <v>0.5</v>
      </c>
      <c r="L220">
        <v>7.169999999999999</v>
      </c>
      <c r="M220">
        <v>14.339999999999998</v>
      </c>
      <c r="N220" t="s">
        <v>6224</v>
      </c>
      <c r="O220" t="s">
        <v>6230</v>
      </c>
    </row>
    <row r="221" spans="1:15" x14ac:dyDescent="0.25">
      <c r="A221" t="s">
        <v>2899</v>
      </c>
      <c r="B221" s="8">
        <v>43759</v>
      </c>
      <c r="C221" t="s">
        <v>2900</v>
      </c>
      <c r="D221" t="s">
        <v>6179</v>
      </c>
      <c r="E221">
        <v>5</v>
      </c>
      <c r="F221" t="s">
        <v>2901</v>
      </c>
      <c r="G221" t="s">
        <v>2902</v>
      </c>
      <c r="H221" t="s">
        <v>19</v>
      </c>
      <c r="I221" t="s">
        <v>6192</v>
      </c>
      <c r="J221" t="s">
        <v>6186</v>
      </c>
      <c r="K221">
        <v>0.5</v>
      </c>
      <c r="L221">
        <v>7.169999999999999</v>
      </c>
      <c r="M221">
        <v>35.849999999999994</v>
      </c>
      <c r="N221" t="s">
        <v>6224</v>
      </c>
      <c r="O221" t="s">
        <v>6230</v>
      </c>
    </row>
    <row r="222" spans="1:15" x14ac:dyDescent="0.25">
      <c r="A222" t="s">
        <v>2375</v>
      </c>
      <c r="B222" s="8">
        <v>43742</v>
      </c>
      <c r="C222" t="s">
        <v>2376</v>
      </c>
      <c r="D222" t="s">
        <v>6179</v>
      </c>
      <c r="E222">
        <v>5</v>
      </c>
      <c r="F222" t="s">
        <v>2377</v>
      </c>
      <c r="G222" t="s">
        <v>6228</v>
      </c>
      <c r="H222" t="s">
        <v>19</v>
      </c>
      <c r="I222" t="s">
        <v>6192</v>
      </c>
      <c r="J222" t="s">
        <v>6186</v>
      </c>
      <c r="K222">
        <v>0.5</v>
      </c>
      <c r="L222">
        <v>7.169999999999999</v>
      </c>
      <c r="M222">
        <v>35.849999999999994</v>
      </c>
      <c r="N222" t="s">
        <v>6224</v>
      </c>
      <c r="O222" t="s">
        <v>6230</v>
      </c>
    </row>
    <row r="223" spans="1:15" x14ac:dyDescent="0.25">
      <c r="A223" t="s">
        <v>5466</v>
      </c>
      <c r="B223" s="8">
        <v>43790</v>
      </c>
      <c r="C223" t="s">
        <v>5467</v>
      </c>
      <c r="D223" t="s">
        <v>6178</v>
      </c>
      <c r="E223">
        <v>2</v>
      </c>
      <c r="F223" t="s">
        <v>5468</v>
      </c>
      <c r="G223" t="s">
        <v>5469</v>
      </c>
      <c r="H223" t="s">
        <v>19</v>
      </c>
      <c r="I223" t="s">
        <v>6193</v>
      </c>
      <c r="J223" t="s">
        <v>6187</v>
      </c>
      <c r="K223">
        <v>2.5</v>
      </c>
      <c r="L223">
        <v>22.884999999999998</v>
      </c>
      <c r="M223">
        <v>45.769999999999996</v>
      </c>
      <c r="N223" t="s">
        <v>6221</v>
      </c>
      <c r="O223" t="s">
        <v>6225</v>
      </c>
    </row>
    <row r="224" spans="1:15" x14ac:dyDescent="0.25">
      <c r="A224" t="s">
        <v>5147</v>
      </c>
      <c r="B224" s="8">
        <v>43781</v>
      </c>
      <c r="C224" t="s">
        <v>5148</v>
      </c>
      <c r="D224" t="s">
        <v>6152</v>
      </c>
      <c r="E224">
        <v>5</v>
      </c>
      <c r="F224" t="s">
        <v>5149</v>
      </c>
      <c r="G224" t="s">
        <v>5150</v>
      </c>
      <c r="H224" t="s">
        <v>19</v>
      </c>
      <c r="I224" t="s">
        <v>6193</v>
      </c>
      <c r="J224" t="s">
        <v>6186</v>
      </c>
      <c r="K224">
        <v>2.5</v>
      </c>
      <c r="L224">
        <v>29.784999999999997</v>
      </c>
      <c r="M224">
        <v>148.92499999999998</v>
      </c>
      <c r="N224" t="s">
        <v>6221</v>
      </c>
      <c r="O224" t="s">
        <v>6230</v>
      </c>
    </row>
    <row r="225" spans="1:15" x14ac:dyDescent="0.25">
      <c r="A225" t="s">
        <v>4808</v>
      </c>
      <c r="B225" s="8">
        <v>43797</v>
      </c>
      <c r="C225" t="s">
        <v>4809</v>
      </c>
      <c r="D225" t="s">
        <v>6182</v>
      </c>
      <c r="E225">
        <v>6</v>
      </c>
      <c r="F225" t="s">
        <v>4810</v>
      </c>
      <c r="G225" t="s">
        <v>4811</v>
      </c>
      <c r="H225" t="s">
        <v>19</v>
      </c>
      <c r="I225" t="s">
        <v>6193</v>
      </c>
      <c r="J225" t="s">
        <v>6186</v>
      </c>
      <c r="K225">
        <v>1</v>
      </c>
      <c r="L225">
        <v>12.95</v>
      </c>
      <c r="M225">
        <v>77.699999999999989</v>
      </c>
      <c r="N225" t="s">
        <v>6221</v>
      </c>
      <c r="O225" t="s">
        <v>6230</v>
      </c>
    </row>
    <row r="226" spans="1:15" x14ac:dyDescent="0.25">
      <c r="A226" t="s">
        <v>3728</v>
      </c>
      <c r="B226" s="8">
        <v>43781</v>
      </c>
      <c r="C226" t="s">
        <v>3729</v>
      </c>
      <c r="D226" t="s">
        <v>6155</v>
      </c>
      <c r="E226">
        <v>6</v>
      </c>
      <c r="F226" t="s">
        <v>3730</v>
      </c>
      <c r="G226" t="s">
        <v>3731</v>
      </c>
      <c r="H226" t="s">
        <v>19</v>
      </c>
      <c r="I226" t="s">
        <v>6193</v>
      </c>
      <c r="J226" t="s">
        <v>6188</v>
      </c>
      <c r="K226">
        <v>0.5</v>
      </c>
      <c r="L226">
        <v>6.75</v>
      </c>
      <c r="M226">
        <v>40.5</v>
      </c>
      <c r="N226" t="s">
        <v>6221</v>
      </c>
      <c r="O226" t="s">
        <v>6226</v>
      </c>
    </row>
    <row r="227" spans="1:15" x14ac:dyDescent="0.25">
      <c r="A227" t="s">
        <v>3367</v>
      </c>
      <c r="B227" s="8">
        <v>43785</v>
      </c>
      <c r="C227" t="s">
        <v>3368</v>
      </c>
      <c r="D227" t="s">
        <v>6147</v>
      </c>
      <c r="E227">
        <v>3</v>
      </c>
      <c r="F227" t="s">
        <v>3369</v>
      </c>
      <c r="G227" t="s">
        <v>3370</v>
      </c>
      <c r="H227" t="s">
        <v>318</v>
      </c>
      <c r="I227" t="s">
        <v>6193</v>
      </c>
      <c r="J227" t="s">
        <v>6187</v>
      </c>
      <c r="K227">
        <v>0.5</v>
      </c>
      <c r="L227">
        <v>5.97</v>
      </c>
      <c r="M227">
        <v>17.91</v>
      </c>
      <c r="N227" t="s">
        <v>6221</v>
      </c>
      <c r="O227" t="s">
        <v>6225</v>
      </c>
    </row>
    <row r="228" spans="1:15" x14ac:dyDescent="0.25">
      <c r="A228" t="s">
        <v>2004</v>
      </c>
      <c r="B228" s="8">
        <v>43790</v>
      </c>
      <c r="C228" t="s">
        <v>1672</v>
      </c>
      <c r="D228" t="s">
        <v>6147</v>
      </c>
      <c r="E228">
        <v>2</v>
      </c>
      <c r="F228" t="s">
        <v>1673</v>
      </c>
      <c r="G228" t="s">
        <v>1674</v>
      </c>
      <c r="H228" t="e">
        <v>#N/A</v>
      </c>
      <c r="I228" t="s">
        <v>6193</v>
      </c>
      <c r="J228" t="s">
        <v>6187</v>
      </c>
      <c r="K228">
        <v>0.5</v>
      </c>
      <c r="L228">
        <v>5.97</v>
      </c>
      <c r="M228">
        <v>11.94</v>
      </c>
      <c r="N228" t="s">
        <v>6221</v>
      </c>
      <c r="O228" t="s">
        <v>6225</v>
      </c>
    </row>
    <row r="229" spans="1:15" x14ac:dyDescent="0.25">
      <c r="A229" t="s">
        <v>750</v>
      </c>
      <c r="B229" s="8">
        <v>43776</v>
      </c>
      <c r="C229" t="s">
        <v>751</v>
      </c>
      <c r="D229" t="s">
        <v>6166</v>
      </c>
      <c r="E229">
        <v>2</v>
      </c>
      <c r="F229" t="s">
        <v>752</v>
      </c>
      <c r="G229" t="s">
        <v>6228</v>
      </c>
      <c r="H229" t="s">
        <v>19</v>
      </c>
      <c r="I229" t="s">
        <v>6194</v>
      </c>
      <c r="J229" t="s">
        <v>6188</v>
      </c>
      <c r="K229">
        <v>1</v>
      </c>
      <c r="L229">
        <v>13.75</v>
      </c>
      <c r="M229">
        <v>27.5</v>
      </c>
      <c r="N229" t="s">
        <v>6222</v>
      </c>
      <c r="O229" t="s">
        <v>6226</v>
      </c>
    </row>
    <row r="230" spans="1:15" x14ac:dyDescent="0.25">
      <c r="A230" t="s">
        <v>5107</v>
      </c>
      <c r="B230" s="8">
        <v>43798</v>
      </c>
      <c r="C230" t="s">
        <v>5108</v>
      </c>
      <c r="D230" t="s">
        <v>6169</v>
      </c>
      <c r="E230">
        <v>2</v>
      </c>
      <c r="F230" t="s">
        <v>5109</v>
      </c>
      <c r="G230" t="s">
        <v>5110</v>
      </c>
      <c r="H230" t="s">
        <v>19</v>
      </c>
      <c r="I230" t="s">
        <v>6195</v>
      </c>
      <c r="J230" t="s">
        <v>6187</v>
      </c>
      <c r="K230">
        <v>0.2</v>
      </c>
      <c r="L230">
        <v>3.8849999999999998</v>
      </c>
      <c r="M230">
        <v>7.77</v>
      </c>
      <c r="N230" t="s">
        <v>6223</v>
      </c>
      <c r="O230" t="s">
        <v>6225</v>
      </c>
    </row>
    <row r="231" spans="1:15" x14ac:dyDescent="0.25">
      <c r="A231" t="s">
        <v>4903</v>
      </c>
      <c r="B231" s="8">
        <v>43778</v>
      </c>
      <c r="C231" t="s">
        <v>4904</v>
      </c>
      <c r="D231" t="s">
        <v>6164</v>
      </c>
      <c r="E231">
        <v>4</v>
      </c>
      <c r="F231" t="s">
        <v>4905</v>
      </c>
      <c r="G231" t="s">
        <v>4906</v>
      </c>
      <c r="H231" t="s">
        <v>19</v>
      </c>
      <c r="I231" t="s">
        <v>6195</v>
      </c>
      <c r="J231" t="s">
        <v>6186</v>
      </c>
      <c r="K231">
        <v>1</v>
      </c>
      <c r="L231">
        <v>15.85</v>
      </c>
      <c r="M231">
        <v>63.4</v>
      </c>
      <c r="N231" t="s">
        <v>6223</v>
      </c>
      <c r="O231" t="s">
        <v>6230</v>
      </c>
    </row>
    <row r="232" spans="1:15" x14ac:dyDescent="0.25">
      <c r="A232" t="s">
        <v>965</v>
      </c>
      <c r="B232" s="8">
        <v>43783</v>
      </c>
      <c r="C232" t="s">
        <v>966</v>
      </c>
      <c r="D232" t="s">
        <v>6161</v>
      </c>
      <c r="E232">
        <v>1</v>
      </c>
      <c r="F232" t="s">
        <v>967</v>
      </c>
      <c r="G232" t="s">
        <v>968</v>
      </c>
      <c r="H232" t="s">
        <v>19</v>
      </c>
      <c r="I232" t="s">
        <v>6195</v>
      </c>
      <c r="J232" t="s">
        <v>6186</v>
      </c>
      <c r="K232">
        <v>0.2</v>
      </c>
      <c r="L232">
        <v>4.7549999999999999</v>
      </c>
      <c r="M232">
        <v>4.7549999999999999</v>
      </c>
      <c r="N232" t="s">
        <v>6223</v>
      </c>
      <c r="O232" t="s">
        <v>6230</v>
      </c>
    </row>
    <row r="233" spans="1:15" x14ac:dyDescent="0.25">
      <c r="A233" t="s">
        <v>3220</v>
      </c>
      <c r="B233" s="8">
        <v>43790</v>
      </c>
      <c r="C233" t="s">
        <v>3221</v>
      </c>
      <c r="D233" t="s">
        <v>6165</v>
      </c>
      <c r="E233">
        <v>2</v>
      </c>
      <c r="F233" t="s">
        <v>3222</v>
      </c>
      <c r="G233" t="s">
        <v>6228</v>
      </c>
      <c r="H233" t="s">
        <v>19</v>
      </c>
      <c r="I233" t="s">
        <v>6195</v>
      </c>
      <c r="J233" t="s">
        <v>6187</v>
      </c>
      <c r="K233">
        <v>1</v>
      </c>
      <c r="L233">
        <v>12.95</v>
      </c>
      <c r="M233">
        <v>25.9</v>
      </c>
      <c r="N233" t="s">
        <v>6223</v>
      </c>
      <c r="O233" t="s">
        <v>6225</v>
      </c>
    </row>
    <row r="234" spans="1:15" x14ac:dyDescent="0.25">
      <c r="A234" t="s">
        <v>2999</v>
      </c>
      <c r="B234" s="8">
        <v>43784</v>
      </c>
      <c r="C234" t="s">
        <v>3000</v>
      </c>
      <c r="D234" t="s">
        <v>6181</v>
      </c>
      <c r="E234">
        <v>2</v>
      </c>
      <c r="F234" t="s">
        <v>3001</v>
      </c>
      <c r="G234" t="s">
        <v>3002</v>
      </c>
      <c r="H234" t="s">
        <v>318</v>
      </c>
      <c r="I234" t="s">
        <v>6195</v>
      </c>
      <c r="J234" t="s">
        <v>6188</v>
      </c>
      <c r="K234">
        <v>1</v>
      </c>
      <c r="L234">
        <v>14.55</v>
      </c>
      <c r="M234">
        <v>29.1</v>
      </c>
      <c r="N234" t="s">
        <v>6223</v>
      </c>
      <c r="O234" t="s">
        <v>6226</v>
      </c>
    </row>
    <row r="235" spans="1:15" x14ac:dyDescent="0.25">
      <c r="A235" t="s">
        <v>1694</v>
      </c>
      <c r="B235" s="8">
        <v>43775</v>
      </c>
      <c r="C235" t="s">
        <v>1695</v>
      </c>
      <c r="D235" t="s">
        <v>6170</v>
      </c>
      <c r="E235">
        <v>2</v>
      </c>
      <c r="F235" t="s">
        <v>1696</v>
      </c>
      <c r="G235" t="s">
        <v>1697</v>
      </c>
      <c r="H235" t="s">
        <v>318</v>
      </c>
      <c r="I235" t="s">
        <v>6195</v>
      </c>
      <c r="J235" t="s">
        <v>6186</v>
      </c>
      <c r="K235">
        <v>0.5</v>
      </c>
      <c r="L235">
        <v>9.51</v>
      </c>
      <c r="M235">
        <v>19.02</v>
      </c>
      <c r="N235" t="s">
        <v>6223</v>
      </c>
      <c r="O235" t="s">
        <v>6230</v>
      </c>
    </row>
    <row r="236" spans="1:15" x14ac:dyDescent="0.25">
      <c r="A236" t="s">
        <v>2209</v>
      </c>
      <c r="B236" s="8">
        <v>43796</v>
      </c>
      <c r="C236" t="s">
        <v>2210</v>
      </c>
      <c r="D236" t="s">
        <v>6159</v>
      </c>
      <c r="E236">
        <v>5</v>
      </c>
      <c r="F236" t="s">
        <v>2211</v>
      </c>
      <c r="G236" t="s">
        <v>2212</v>
      </c>
      <c r="H236" t="s">
        <v>28</v>
      </c>
      <c r="I236" t="s">
        <v>6195</v>
      </c>
      <c r="J236" t="s">
        <v>6186</v>
      </c>
      <c r="K236">
        <v>2.5</v>
      </c>
      <c r="L236">
        <v>36.454999999999998</v>
      </c>
      <c r="M236">
        <v>182.27499999999998</v>
      </c>
      <c r="N236" t="s">
        <v>6223</v>
      </c>
      <c r="O236" t="s">
        <v>6230</v>
      </c>
    </row>
    <row r="237" spans="1:15" x14ac:dyDescent="0.25">
      <c r="A237" t="s">
        <v>878</v>
      </c>
      <c r="B237" s="8">
        <v>43795</v>
      </c>
      <c r="C237" t="s">
        <v>879</v>
      </c>
      <c r="D237" t="s">
        <v>6138</v>
      </c>
      <c r="E237">
        <v>6</v>
      </c>
      <c r="F237" t="s">
        <v>880</v>
      </c>
      <c r="G237" t="s">
        <v>881</v>
      </c>
      <c r="H237" t="s">
        <v>28</v>
      </c>
      <c r="I237" t="s">
        <v>6192</v>
      </c>
      <c r="J237" t="s">
        <v>6188</v>
      </c>
      <c r="K237">
        <v>0.5</v>
      </c>
      <c r="L237">
        <v>5.97</v>
      </c>
      <c r="M237">
        <v>35.82</v>
      </c>
      <c r="N237" t="s">
        <v>6224</v>
      </c>
      <c r="O237" t="s">
        <v>6226</v>
      </c>
    </row>
    <row r="238" spans="1:15" x14ac:dyDescent="0.25">
      <c r="A238" t="s">
        <v>2351</v>
      </c>
      <c r="B238" s="8">
        <v>43782</v>
      </c>
      <c r="C238" t="s">
        <v>2280</v>
      </c>
      <c r="D238" t="s">
        <v>6172</v>
      </c>
      <c r="E238">
        <v>3</v>
      </c>
      <c r="F238" t="s">
        <v>2281</v>
      </c>
      <c r="G238" t="s">
        <v>2282</v>
      </c>
      <c r="H238" t="e">
        <v>#N/A</v>
      </c>
      <c r="I238" t="s">
        <v>6192</v>
      </c>
      <c r="J238" t="s">
        <v>6187</v>
      </c>
      <c r="K238">
        <v>0.2</v>
      </c>
      <c r="L238">
        <v>2.6849999999999996</v>
      </c>
      <c r="M238">
        <v>8.0549999999999997</v>
      </c>
      <c r="N238" t="s">
        <v>6224</v>
      </c>
      <c r="O238" t="s">
        <v>6225</v>
      </c>
    </row>
    <row r="239" spans="1:15" x14ac:dyDescent="0.25">
      <c r="A239" t="s">
        <v>2123</v>
      </c>
      <c r="B239" s="8">
        <v>43772</v>
      </c>
      <c r="C239" t="s">
        <v>2124</v>
      </c>
      <c r="D239" t="s">
        <v>6163</v>
      </c>
      <c r="E239">
        <v>5</v>
      </c>
      <c r="F239" t="s">
        <v>2125</v>
      </c>
      <c r="G239" t="s">
        <v>6228</v>
      </c>
      <c r="H239" t="s">
        <v>19</v>
      </c>
      <c r="I239" t="s">
        <v>6192</v>
      </c>
      <c r="J239" t="s">
        <v>6188</v>
      </c>
      <c r="K239">
        <v>2.5</v>
      </c>
      <c r="L239">
        <v>22.884999999999998</v>
      </c>
      <c r="M239">
        <v>114.42499999999998</v>
      </c>
      <c r="N239" t="s">
        <v>6224</v>
      </c>
      <c r="O239" t="s">
        <v>6226</v>
      </c>
    </row>
    <row r="240" spans="1:15" x14ac:dyDescent="0.25">
      <c r="A240" t="s">
        <v>2204</v>
      </c>
      <c r="B240" s="8">
        <v>43828</v>
      </c>
      <c r="C240" t="s">
        <v>2245</v>
      </c>
      <c r="D240" t="s">
        <v>6167</v>
      </c>
      <c r="E240">
        <v>1</v>
      </c>
      <c r="F240" t="s">
        <v>2246</v>
      </c>
      <c r="G240" t="s">
        <v>2247</v>
      </c>
      <c r="H240" t="s">
        <v>19</v>
      </c>
      <c r="I240" t="s">
        <v>9</v>
      </c>
      <c r="J240" t="s">
        <v>10</v>
      </c>
      <c r="K240" t="s">
        <v>12</v>
      </c>
      <c r="L240" t="s">
        <v>13</v>
      </c>
      <c r="M240" t="e">
        <v>#VALUE!</v>
      </c>
      <c r="N240" t="s">
        <v>6228</v>
      </c>
      <c r="O240" t="s">
        <v>6228</v>
      </c>
    </row>
    <row r="241" spans="1:15" x14ac:dyDescent="0.25">
      <c r="A241" t="s">
        <v>1022</v>
      </c>
      <c r="B241" s="8">
        <v>43816</v>
      </c>
      <c r="C241" t="s">
        <v>1023</v>
      </c>
      <c r="D241" t="s">
        <v>6175</v>
      </c>
      <c r="E241">
        <v>6</v>
      </c>
      <c r="F241" t="s">
        <v>1024</v>
      </c>
      <c r="G241" t="s">
        <v>1025</v>
      </c>
      <c r="H241" t="s">
        <v>19</v>
      </c>
      <c r="I241" t="s">
        <v>6193</v>
      </c>
      <c r="J241" t="s">
        <v>6188</v>
      </c>
      <c r="K241">
        <v>1</v>
      </c>
      <c r="L241">
        <v>11.25</v>
      </c>
      <c r="M241">
        <v>67.5</v>
      </c>
      <c r="N241" t="s">
        <v>6221</v>
      </c>
      <c r="O241" t="s">
        <v>6226</v>
      </c>
    </row>
    <row r="242" spans="1:15" x14ac:dyDescent="0.25">
      <c r="A242" t="s">
        <v>4659</v>
      </c>
      <c r="B242" s="8">
        <v>43812</v>
      </c>
      <c r="C242" t="s">
        <v>4660</v>
      </c>
      <c r="D242" t="s">
        <v>6178</v>
      </c>
      <c r="E242">
        <v>3</v>
      </c>
      <c r="F242" t="s">
        <v>4661</v>
      </c>
      <c r="G242" t="s">
        <v>4662</v>
      </c>
      <c r="H242" t="s">
        <v>28</v>
      </c>
      <c r="I242" t="s">
        <v>6193</v>
      </c>
      <c r="J242" t="s">
        <v>6187</v>
      </c>
      <c r="K242">
        <v>2.5</v>
      </c>
      <c r="L242">
        <v>22.884999999999998</v>
      </c>
      <c r="M242">
        <v>68.655000000000001</v>
      </c>
      <c r="N242" t="s">
        <v>6221</v>
      </c>
      <c r="O242" t="s">
        <v>6225</v>
      </c>
    </row>
    <row r="243" spans="1:15" x14ac:dyDescent="0.25">
      <c r="A243" t="s">
        <v>4488</v>
      </c>
      <c r="B243" s="8">
        <v>43804</v>
      </c>
      <c r="C243" t="s">
        <v>4489</v>
      </c>
      <c r="D243" t="s">
        <v>6157</v>
      </c>
      <c r="E243">
        <v>2</v>
      </c>
      <c r="F243" t="s">
        <v>4490</v>
      </c>
      <c r="G243" t="s">
        <v>4491</v>
      </c>
      <c r="H243" t="s">
        <v>19</v>
      </c>
      <c r="I243" t="s">
        <v>6193</v>
      </c>
      <c r="J243" t="s">
        <v>6188</v>
      </c>
      <c r="K243">
        <v>0.2</v>
      </c>
      <c r="L243">
        <v>3.375</v>
      </c>
      <c r="M243">
        <v>6.75</v>
      </c>
      <c r="N243" t="s">
        <v>6221</v>
      </c>
      <c r="O243" t="s">
        <v>6226</v>
      </c>
    </row>
    <row r="244" spans="1:15" x14ac:dyDescent="0.25">
      <c r="A244" t="s">
        <v>3373</v>
      </c>
      <c r="B244" s="8">
        <v>43803</v>
      </c>
      <c r="C244" t="s">
        <v>3374</v>
      </c>
      <c r="D244" t="s">
        <v>6178</v>
      </c>
      <c r="E244">
        <v>3</v>
      </c>
      <c r="F244" t="s">
        <v>3375</v>
      </c>
      <c r="G244" t="s">
        <v>3376</v>
      </c>
      <c r="H244" t="s">
        <v>318</v>
      </c>
      <c r="I244" t="s">
        <v>6193</v>
      </c>
      <c r="J244" t="s">
        <v>6187</v>
      </c>
      <c r="K244">
        <v>2.5</v>
      </c>
      <c r="L244">
        <v>22.884999999999998</v>
      </c>
      <c r="M244">
        <v>68.655000000000001</v>
      </c>
      <c r="N244" t="s">
        <v>6221</v>
      </c>
      <c r="O244" t="s">
        <v>6225</v>
      </c>
    </row>
    <row r="245" spans="1:15" x14ac:dyDescent="0.25">
      <c r="A245" t="s">
        <v>1498</v>
      </c>
      <c r="B245" s="8">
        <v>43830</v>
      </c>
      <c r="C245" t="s">
        <v>1499</v>
      </c>
      <c r="D245" t="s">
        <v>6154</v>
      </c>
      <c r="E245">
        <v>1</v>
      </c>
      <c r="F245" t="s">
        <v>1500</v>
      </c>
      <c r="G245" t="s">
        <v>6228</v>
      </c>
      <c r="H245" t="s">
        <v>318</v>
      </c>
      <c r="I245" t="s">
        <v>6193</v>
      </c>
      <c r="J245" t="s">
        <v>6188</v>
      </c>
      <c r="K245">
        <v>2.5</v>
      </c>
      <c r="L245">
        <v>25.874999999999996</v>
      </c>
      <c r="M245">
        <v>25.874999999999996</v>
      </c>
      <c r="N245" t="s">
        <v>6221</v>
      </c>
      <c r="O245" t="s">
        <v>6226</v>
      </c>
    </row>
    <row r="246" spans="1:15" x14ac:dyDescent="0.25">
      <c r="A246" t="s">
        <v>2934</v>
      </c>
      <c r="B246" s="8">
        <v>43807</v>
      </c>
      <c r="C246" t="s">
        <v>2935</v>
      </c>
      <c r="D246" t="s">
        <v>6155</v>
      </c>
      <c r="E246">
        <v>6</v>
      </c>
      <c r="F246" t="s">
        <v>2936</v>
      </c>
      <c r="G246" t="s">
        <v>6228</v>
      </c>
      <c r="H246" t="s">
        <v>19</v>
      </c>
      <c r="I246" t="s">
        <v>6193</v>
      </c>
      <c r="J246" t="s">
        <v>6188</v>
      </c>
      <c r="K246">
        <v>0.5</v>
      </c>
      <c r="L246">
        <v>6.75</v>
      </c>
      <c r="M246">
        <v>40.5</v>
      </c>
      <c r="N246" t="s">
        <v>6221</v>
      </c>
      <c r="O246" t="s">
        <v>6226</v>
      </c>
    </row>
    <row r="247" spans="1:15" x14ac:dyDescent="0.25">
      <c r="A247" t="s">
        <v>2923</v>
      </c>
      <c r="B247" s="8">
        <v>43808</v>
      </c>
      <c r="C247" t="s">
        <v>2924</v>
      </c>
      <c r="D247" t="s">
        <v>6155</v>
      </c>
      <c r="E247">
        <v>2</v>
      </c>
      <c r="F247" t="s">
        <v>2925</v>
      </c>
      <c r="G247" t="s">
        <v>6228</v>
      </c>
      <c r="H247" t="s">
        <v>19</v>
      </c>
      <c r="I247" t="s">
        <v>6193</v>
      </c>
      <c r="J247" t="s">
        <v>6188</v>
      </c>
      <c r="K247">
        <v>0.5</v>
      </c>
      <c r="L247">
        <v>6.75</v>
      </c>
      <c r="M247">
        <v>13.5</v>
      </c>
      <c r="N247" t="s">
        <v>6221</v>
      </c>
      <c r="O247" t="s">
        <v>6226</v>
      </c>
    </row>
    <row r="248" spans="1:15" x14ac:dyDescent="0.25">
      <c r="A248" t="s">
        <v>2824</v>
      </c>
      <c r="B248" s="8">
        <v>43802</v>
      </c>
      <c r="C248" t="s">
        <v>2825</v>
      </c>
      <c r="D248" t="s">
        <v>6178</v>
      </c>
      <c r="E248">
        <v>3</v>
      </c>
      <c r="F248" t="s">
        <v>2826</v>
      </c>
      <c r="G248" t="s">
        <v>6228</v>
      </c>
      <c r="H248" t="s">
        <v>19</v>
      </c>
      <c r="I248" t="s">
        <v>6193</v>
      </c>
      <c r="J248" t="s">
        <v>6187</v>
      </c>
      <c r="K248">
        <v>2.5</v>
      </c>
      <c r="L248">
        <v>22.884999999999998</v>
      </c>
      <c r="M248">
        <v>68.655000000000001</v>
      </c>
      <c r="N248" t="s">
        <v>6221</v>
      </c>
      <c r="O248" t="s">
        <v>6225</v>
      </c>
    </row>
    <row r="249" spans="1:15" x14ac:dyDescent="0.25">
      <c r="A249" t="s">
        <v>5791</v>
      </c>
      <c r="B249" s="8">
        <v>43829</v>
      </c>
      <c r="C249" t="s">
        <v>5792</v>
      </c>
      <c r="D249" t="s">
        <v>6171</v>
      </c>
      <c r="E249">
        <v>5</v>
      </c>
      <c r="F249" t="s">
        <v>5793</v>
      </c>
      <c r="G249" t="s">
        <v>5794</v>
      </c>
      <c r="H249" t="s">
        <v>19</v>
      </c>
      <c r="I249" t="s">
        <v>6194</v>
      </c>
      <c r="J249" t="s">
        <v>6186</v>
      </c>
      <c r="K249">
        <v>0.5</v>
      </c>
      <c r="L249">
        <v>8.91</v>
      </c>
      <c r="M249">
        <v>44.55</v>
      </c>
      <c r="N249" t="s">
        <v>6222</v>
      </c>
      <c r="O249" t="s">
        <v>6230</v>
      </c>
    </row>
    <row r="250" spans="1:15" x14ac:dyDescent="0.25">
      <c r="A250" t="s">
        <v>4342</v>
      </c>
      <c r="B250" s="8">
        <v>43827</v>
      </c>
      <c r="C250" t="s">
        <v>4343</v>
      </c>
      <c r="D250" t="s">
        <v>6156</v>
      </c>
      <c r="E250">
        <v>2</v>
      </c>
      <c r="F250" t="s">
        <v>4344</v>
      </c>
      <c r="G250" t="s">
        <v>4345</v>
      </c>
      <c r="H250" t="s">
        <v>19</v>
      </c>
      <c r="I250" t="s">
        <v>6194</v>
      </c>
      <c r="J250" t="s">
        <v>6186</v>
      </c>
      <c r="K250">
        <v>2.5</v>
      </c>
      <c r="L250">
        <v>34.154999999999994</v>
      </c>
      <c r="M250">
        <v>68.309999999999988</v>
      </c>
      <c r="N250" t="s">
        <v>6222</v>
      </c>
      <c r="O250" t="s">
        <v>6230</v>
      </c>
    </row>
    <row r="251" spans="1:15" x14ac:dyDescent="0.25">
      <c r="A251" t="s">
        <v>1470</v>
      </c>
      <c r="B251" s="8">
        <v>43813</v>
      </c>
      <c r="C251" t="s">
        <v>1471</v>
      </c>
      <c r="D251" t="s">
        <v>6148</v>
      </c>
      <c r="E251">
        <v>6</v>
      </c>
      <c r="F251" t="s">
        <v>1472</v>
      </c>
      <c r="G251" t="s">
        <v>6228</v>
      </c>
      <c r="H251" t="s">
        <v>19</v>
      </c>
      <c r="I251" t="s">
        <v>6194</v>
      </c>
      <c r="J251" t="s">
        <v>6186</v>
      </c>
      <c r="K251">
        <v>1</v>
      </c>
      <c r="L251">
        <v>14.85</v>
      </c>
      <c r="M251">
        <v>89.1</v>
      </c>
      <c r="N251" t="s">
        <v>6222</v>
      </c>
      <c r="O251" t="s">
        <v>6230</v>
      </c>
    </row>
    <row r="252" spans="1:15" x14ac:dyDescent="0.25">
      <c r="A252" t="s">
        <v>2452</v>
      </c>
      <c r="B252" s="8">
        <v>43803</v>
      </c>
      <c r="C252" t="s">
        <v>2453</v>
      </c>
      <c r="D252" t="s">
        <v>6148</v>
      </c>
      <c r="E252">
        <v>6</v>
      </c>
      <c r="F252" t="s">
        <v>2454</v>
      </c>
      <c r="G252" t="s">
        <v>2455</v>
      </c>
      <c r="H252" t="s">
        <v>19</v>
      </c>
      <c r="I252" t="s">
        <v>6194</v>
      </c>
      <c r="J252" t="s">
        <v>6186</v>
      </c>
      <c r="K252">
        <v>1</v>
      </c>
      <c r="L252">
        <v>14.85</v>
      </c>
      <c r="M252">
        <v>89.1</v>
      </c>
      <c r="N252" t="s">
        <v>6222</v>
      </c>
      <c r="O252" t="s">
        <v>6230</v>
      </c>
    </row>
    <row r="253" spans="1:15" x14ac:dyDescent="0.25">
      <c r="A253" t="s">
        <v>2267</v>
      </c>
      <c r="B253" s="8">
        <v>43826</v>
      </c>
      <c r="C253" t="s">
        <v>2268</v>
      </c>
      <c r="D253" t="s">
        <v>6148</v>
      </c>
      <c r="E253">
        <v>1</v>
      </c>
      <c r="F253" t="s">
        <v>2269</v>
      </c>
      <c r="G253" t="s">
        <v>2270</v>
      </c>
      <c r="H253" t="s">
        <v>19</v>
      </c>
      <c r="I253" t="s">
        <v>6194</v>
      </c>
      <c r="J253" t="s">
        <v>6186</v>
      </c>
      <c r="K253">
        <v>1</v>
      </c>
      <c r="L253">
        <v>14.85</v>
      </c>
      <c r="M253">
        <v>14.85</v>
      </c>
      <c r="N253" t="s">
        <v>6222</v>
      </c>
      <c r="O253" t="s">
        <v>6230</v>
      </c>
    </row>
    <row r="254" spans="1:15" x14ac:dyDescent="0.25">
      <c r="A254" t="s">
        <v>5356</v>
      </c>
      <c r="B254" s="8">
        <v>43802</v>
      </c>
      <c r="C254" t="s">
        <v>5357</v>
      </c>
      <c r="D254" t="s">
        <v>6143</v>
      </c>
      <c r="E254">
        <v>6</v>
      </c>
      <c r="F254" t="s">
        <v>5358</v>
      </c>
      <c r="G254" t="s">
        <v>5359</v>
      </c>
      <c r="H254" t="s">
        <v>19</v>
      </c>
      <c r="I254" t="s">
        <v>6195</v>
      </c>
      <c r="J254" t="s">
        <v>6187</v>
      </c>
      <c r="K254">
        <v>0.5</v>
      </c>
      <c r="L254">
        <v>7.77</v>
      </c>
      <c r="M254">
        <v>46.62</v>
      </c>
      <c r="N254" t="s">
        <v>6223</v>
      </c>
      <c r="O254" t="s">
        <v>6225</v>
      </c>
    </row>
    <row r="255" spans="1:15" x14ac:dyDescent="0.25">
      <c r="A255" t="s">
        <v>1100</v>
      </c>
      <c r="B255" s="8">
        <v>43811</v>
      </c>
      <c r="C255" t="s">
        <v>1101</v>
      </c>
      <c r="D255" t="s">
        <v>6169</v>
      </c>
      <c r="E255">
        <v>1</v>
      </c>
      <c r="F255" t="s">
        <v>1102</v>
      </c>
      <c r="G255" t="s">
        <v>1103</v>
      </c>
      <c r="H255" t="s">
        <v>19</v>
      </c>
      <c r="I255" t="s">
        <v>6195</v>
      </c>
      <c r="J255" t="s">
        <v>6187</v>
      </c>
      <c r="K255">
        <v>0.2</v>
      </c>
      <c r="L255">
        <v>3.8849999999999998</v>
      </c>
      <c r="M255">
        <v>3.8849999999999998</v>
      </c>
      <c r="N255" t="s">
        <v>6223</v>
      </c>
      <c r="O255" t="s">
        <v>6225</v>
      </c>
    </row>
    <row r="256" spans="1:15" x14ac:dyDescent="0.25">
      <c r="A256" t="s">
        <v>4433</v>
      </c>
      <c r="B256" s="8">
        <v>43830</v>
      </c>
      <c r="C256" t="s">
        <v>4434</v>
      </c>
      <c r="D256" t="s">
        <v>6143</v>
      </c>
      <c r="E256">
        <v>2</v>
      </c>
      <c r="F256" t="s">
        <v>4435</v>
      </c>
      <c r="G256" t="s">
        <v>4436</v>
      </c>
      <c r="H256" t="s">
        <v>318</v>
      </c>
      <c r="I256" t="s">
        <v>6195</v>
      </c>
      <c r="J256" t="s">
        <v>6187</v>
      </c>
      <c r="K256">
        <v>0.5</v>
      </c>
      <c r="L256">
        <v>7.77</v>
      </c>
      <c r="M256">
        <v>15.54</v>
      </c>
      <c r="N256" t="s">
        <v>6223</v>
      </c>
      <c r="O256" t="s">
        <v>6225</v>
      </c>
    </row>
    <row r="257" spans="1:15" x14ac:dyDescent="0.25">
      <c r="A257" t="s">
        <v>1555</v>
      </c>
      <c r="B257" s="8">
        <v>43813</v>
      </c>
      <c r="C257" t="s">
        <v>1556</v>
      </c>
      <c r="D257" t="s">
        <v>6162</v>
      </c>
      <c r="E257">
        <v>3</v>
      </c>
      <c r="F257" t="s">
        <v>1557</v>
      </c>
      <c r="G257" t="s">
        <v>1558</v>
      </c>
      <c r="H257" t="s">
        <v>19</v>
      </c>
      <c r="I257" t="s">
        <v>6195</v>
      </c>
      <c r="J257" t="s">
        <v>6188</v>
      </c>
      <c r="K257">
        <v>0.5</v>
      </c>
      <c r="L257">
        <v>8.73</v>
      </c>
      <c r="M257">
        <v>26.19</v>
      </c>
      <c r="N257" t="s">
        <v>6223</v>
      </c>
      <c r="O257" t="s">
        <v>6226</v>
      </c>
    </row>
    <row r="258" spans="1:15" x14ac:dyDescent="0.25">
      <c r="A258" t="s">
        <v>3004</v>
      </c>
      <c r="B258" s="8">
        <v>43816</v>
      </c>
      <c r="C258" t="s">
        <v>3005</v>
      </c>
      <c r="D258" t="s">
        <v>6160</v>
      </c>
      <c r="E258">
        <v>1</v>
      </c>
      <c r="F258" t="s">
        <v>3006</v>
      </c>
      <c r="G258" t="s">
        <v>3007</v>
      </c>
      <c r="H258" t="s">
        <v>28</v>
      </c>
      <c r="I258" t="s">
        <v>6195</v>
      </c>
      <c r="J258" t="s">
        <v>6188</v>
      </c>
      <c r="K258">
        <v>0.2</v>
      </c>
      <c r="L258">
        <v>4.3650000000000002</v>
      </c>
      <c r="M258">
        <v>4.3650000000000002</v>
      </c>
      <c r="N258" t="s">
        <v>6223</v>
      </c>
      <c r="O258" t="s">
        <v>6226</v>
      </c>
    </row>
    <row r="259" spans="1:15" x14ac:dyDescent="0.25">
      <c r="A259" t="s">
        <v>1701</v>
      </c>
      <c r="B259" s="8">
        <v>43829</v>
      </c>
      <c r="C259" t="s">
        <v>1702</v>
      </c>
      <c r="D259" t="s">
        <v>6150</v>
      </c>
      <c r="E259">
        <v>6</v>
      </c>
      <c r="F259" t="s">
        <v>1703</v>
      </c>
      <c r="G259" t="s">
        <v>1704</v>
      </c>
      <c r="H259" t="s">
        <v>19</v>
      </c>
      <c r="I259" t="s">
        <v>6195</v>
      </c>
      <c r="J259" t="s">
        <v>6188</v>
      </c>
      <c r="K259">
        <v>2.5</v>
      </c>
      <c r="L259">
        <v>33.464999999999996</v>
      </c>
      <c r="M259">
        <v>200.78999999999996</v>
      </c>
      <c r="N259" t="s">
        <v>6223</v>
      </c>
      <c r="O259" t="s">
        <v>6226</v>
      </c>
    </row>
    <row r="260" spans="1:15" x14ac:dyDescent="0.25">
      <c r="A260" t="s">
        <v>4062</v>
      </c>
      <c r="B260" s="8">
        <v>43820</v>
      </c>
      <c r="C260" t="s">
        <v>4063</v>
      </c>
      <c r="D260" t="s">
        <v>6179</v>
      </c>
      <c r="E260">
        <v>4</v>
      </c>
      <c r="F260" t="s">
        <v>4064</v>
      </c>
      <c r="G260" t="s">
        <v>4065</v>
      </c>
      <c r="H260" t="s">
        <v>19</v>
      </c>
      <c r="I260" t="s">
        <v>6192</v>
      </c>
      <c r="J260" t="s">
        <v>6186</v>
      </c>
      <c r="K260">
        <v>0.5</v>
      </c>
      <c r="L260">
        <v>7.169999999999999</v>
      </c>
      <c r="M260">
        <v>28.679999999999996</v>
      </c>
      <c r="N260" t="s">
        <v>6224</v>
      </c>
      <c r="O260" t="s">
        <v>6230</v>
      </c>
    </row>
    <row r="261" spans="1:15" x14ac:dyDescent="0.25">
      <c r="A261" t="s">
        <v>3883</v>
      </c>
      <c r="B261" s="8">
        <v>43815</v>
      </c>
      <c r="C261" t="s">
        <v>3884</v>
      </c>
      <c r="D261" t="s">
        <v>6142</v>
      </c>
      <c r="E261">
        <v>4</v>
      </c>
      <c r="F261" t="s">
        <v>3885</v>
      </c>
      <c r="G261" t="s">
        <v>3886</v>
      </c>
      <c r="H261" t="s">
        <v>19</v>
      </c>
      <c r="I261" t="s">
        <v>6192</v>
      </c>
      <c r="J261" t="s">
        <v>6186</v>
      </c>
      <c r="K261">
        <v>1</v>
      </c>
      <c r="L261">
        <v>11.95</v>
      </c>
      <c r="M261">
        <v>47.8</v>
      </c>
      <c r="N261" t="s">
        <v>6224</v>
      </c>
      <c r="O261" t="s">
        <v>6230</v>
      </c>
    </row>
    <row r="262" spans="1:15" x14ac:dyDescent="0.25">
      <c r="A262" t="s">
        <v>3118</v>
      </c>
      <c r="B262" s="8">
        <v>43814</v>
      </c>
      <c r="C262" t="s">
        <v>3119</v>
      </c>
      <c r="D262" t="s">
        <v>6149</v>
      </c>
      <c r="E262">
        <v>1</v>
      </c>
      <c r="F262" t="s">
        <v>3120</v>
      </c>
      <c r="G262" t="s">
        <v>3121</v>
      </c>
      <c r="H262" t="s">
        <v>19</v>
      </c>
      <c r="I262" t="s">
        <v>6192</v>
      </c>
      <c r="J262" t="s">
        <v>6187</v>
      </c>
      <c r="K262">
        <v>1</v>
      </c>
      <c r="L262">
        <v>8.9499999999999993</v>
      </c>
      <c r="M262">
        <v>8.9499999999999993</v>
      </c>
      <c r="N262" t="s">
        <v>6224</v>
      </c>
      <c r="O262" t="s">
        <v>6225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CDFC3-E340-4407-864C-EC58711A4601}">
  <dimension ref="A1:O25"/>
  <sheetViews>
    <sheetView workbookViewId="0">
      <selection activeCell="A3" sqref="A3:O25"/>
    </sheetView>
  </sheetViews>
  <sheetFormatPr defaultRowHeight="15" x14ac:dyDescent="0.25"/>
  <cols>
    <col min="1" max="1" width="15" bestFit="1" customWidth="1"/>
    <col min="2" max="2" width="13" bestFit="1" customWidth="1"/>
    <col min="3" max="3" width="15.85546875" bestFit="1" customWidth="1"/>
    <col min="4" max="4" width="12.42578125" bestFit="1" customWidth="1"/>
    <col min="5" max="5" width="11" bestFit="1" customWidth="1"/>
    <col min="6" max="6" width="18.42578125" bestFit="1" customWidth="1"/>
    <col min="7" max="7" width="31" bestFit="1" customWidth="1"/>
    <col min="8" max="8" width="15.42578125" bestFit="1" customWidth="1"/>
    <col min="9" max="9" width="14" bestFit="1" customWidth="1"/>
    <col min="10" max="10" width="12.85546875" bestFit="1" customWidth="1"/>
    <col min="11" max="11" width="9.28515625" bestFit="1" customWidth="1"/>
    <col min="12" max="12" width="12" bestFit="1" customWidth="1"/>
    <col min="13" max="13" width="9.28515625" bestFit="1" customWidth="1"/>
    <col min="14" max="14" width="20.140625" bestFit="1" customWidth="1"/>
    <col min="15" max="15" width="18.42578125" bestFit="1" customWidth="1"/>
  </cols>
  <sheetData>
    <row r="1" spans="1:15" x14ac:dyDescent="0.25">
      <c r="A1" s="9" t="s">
        <v>6232</v>
      </c>
    </row>
    <row r="3" spans="1:15" x14ac:dyDescent="0.25">
      <c r="A3" t="s">
        <v>0</v>
      </c>
      <c r="B3" t="s">
        <v>1</v>
      </c>
      <c r="C3" t="s">
        <v>3</v>
      </c>
      <c r="D3" t="s">
        <v>11</v>
      </c>
      <c r="E3" t="s">
        <v>14</v>
      </c>
      <c r="F3" t="s">
        <v>4</v>
      </c>
      <c r="G3" t="s">
        <v>2</v>
      </c>
      <c r="H3" t="s">
        <v>7</v>
      </c>
      <c r="I3" t="s">
        <v>9</v>
      </c>
      <c r="J3" t="s">
        <v>10</v>
      </c>
      <c r="K3" t="s">
        <v>12</v>
      </c>
      <c r="L3" t="s">
        <v>13</v>
      </c>
      <c r="M3" t="s">
        <v>15</v>
      </c>
      <c r="N3" t="s">
        <v>6196</v>
      </c>
      <c r="O3" t="s">
        <v>6197</v>
      </c>
    </row>
    <row r="4" spans="1:15" x14ac:dyDescent="0.25">
      <c r="A4" t="s">
        <v>5477</v>
      </c>
      <c r="B4" s="8">
        <v>43647</v>
      </c>
      <c r="C4" t="s">
        <v>5526</v>
      </c>
      <c r="D4" t="s">
        <v>6168</v>
      </c>
      <c r="E4">
        <v>5</v>
      </c>
      <c r="F4" t="s">
        <v>5527</v>
      </c>
      <c r="G4" t="s">
        <v>5528</v>
      </c>
      <c r="H4" t="s">
        <v>19</v>
      </c>
      <c r="I4" t="s">
        <v>6193</v>
      </c>
      <c r="J4" t="s">
        <v>6187</v>
      </c>
      <c r="K4">
        <v>2.5</v>
      </c>
      <c r="L4">
        <v>22.884999999999998</v>
      </c>
      <c r="M4">
        <v>114.42499999999998</v>
      </c>
      <c r="N4" t="s">
        <v>6221</v>
      </c>
      <c r="O4" t="s">
        <v>6225</v>
      </c>
    </row>
    <row r="5" spans="1:15" x14ac:dyDescent="0.25">
      <c r="A5" t="s">
        <v>4814</v>
      </c>
      <c r="B5" s="8">
        <v>43667</v>
      </c>
      <c r="C5" t="s">
        <v>4815</v>
      </c>
      <c r="D5" t="s">
        <v>6180</v>
      </c>
      <c r="E5">
        <v>2</v>
      </c>
      <c r="F5" t="s">
        <v>4816</v>
      </c>
      <c r="G5" t="s">
        <v>4817</v>
      </c>
      <c r="H5" t="s">
        <v>19</v>
      </c>
      <c r="I5" t="s">
        <v>6193</v>
      </c>
      <c r="J5" t="s">
        <v>6186</v>
      </c>
      <c r="K5">
        <v>0.5</v>
      </c>
      <c r="L5">
        <v>7.77</v>
      </c>
      <c r="M5">
        <v>15.54</v>
      </c>
      <c r="N5" t="s">
        <v>6221</v>
      </c>
      <c r="O5" t="s">
        <v>6230</v>
      </c>
    </row>
    <row r="6" spans="1:15" x14ac:dyDescent="0.25">
      <c r="A6" t="s">
        <v>4539</v>
      </c>
      <c r="B6" s="8">
        <v>43649</v>
      </c>
      <c r="C6" t="s">
        <v>4540</v>
      </c>
      <c r="D6" t="s">
        <v>6168</v>
      </c>
      <c r="E6">
        <v>3</v>
      </c>
      <c r="F6" t="s">
        <v>4541</v>
      </c>
      <c r="G6" t="s">
        <v>4542</v>
      </c>
      <c r="H6" t="s">
        <v>19</v>
      </c>
      <c r="I6" t="s">
        <v>6193</v>
      </c>
      <c r="J6" t="s">
        <v>6187</v>
      </c>
      <c r="K6">
        <v>2.5</v>
      </c>
      <c r="L6">
        <v>22.884999999999998</v>
      </c>
      <c r="M6">
        <v>68.655000000000001</v>
      </c>
      <c r="N6" t="s">
        <v>6221</v>
      </c>
      <c r="O6" t="s">
        <v>6225</v>
      </c>
    </row>
    <row r="7" spans="1:15" x14ac:dyDescent="0.25">
      <c r="A7" t="s">
        <v>4456</v>
      </c>
      <c r="B7" s="8">
        <v>43661</v>
      </c>
      <c r="C7" t="s">
        <v>4457</v>
      </c>
      <c r="D7" t="s">
        <v>6180</v>
      </c>
      <c r="E7">
        <v>1</v>
      </c>
      <c r="F7" t="s">
        <v>4458</v>
      </c>
      <c r="G7" t="s">
        <v>4459</v>
      </c>
      <c r="H7" t="s">
        <v>19</v>
      </c>
      <c r="I7" t="s">
        <v>6193</v>
      </c>
      <c r="J7" t="s">
        <v>6186</v>
      </c>
      <c r="K7">
        <v>0.5</v>
      </c>
      <c r="L7">
        <v>7.77</v>
      </c>
      <c r="M7">
        <v>7.77</v>
      </c>
      <c r="N7" t="s">
        <v>6221</v>
      </c>
      <c r="O7" t="s">
        <v>6230</v>
      </c>
    </row>
    <row r="8" spans="1:15" x14ac:dyDescent="0.25">
      <c r="A8" t="s">
        <v>2733</v>
      </c>
      <c r="B8" s="8">
        <v>43677</v>
      </c>
      <c r="C8" t="s">
        <v>2734</v>
      </c>
      <c r="D8" t="s">
        <v>6154</v>
      </c>
      <c r="E8">
        <v>6</v>
      </c>
      <c r="F8" t="s">
        <v>2735</v>
      </c>
      <c r="G8" t="s">
        <v>2736</v>
      </c>
      <c r="H8" t="s">
        <v>19</v>
      </c>
      <c r="I8" t="s">
        <v>6193</v>
      </c>
      <c r="J8" t="s">
        <v>6187</v>
      </c>
      <c r="K8">
        <v>0.2</v>
      </c>
      <c r="L8">
        <v>2.9849999999999999</v>
      </c>
      <c r="M8">
        <v>17.91</v>
      </c>
      <c r="N8" t="s">
        <v>6221</v>
      </c>
      <c r="O8" t="s">
        <v>6225</v>
      </c>
    </row>
    <row r="9" spans="1:15" x14ac:dyDescent="0.25">
      <c r="A9" t="s">
        <v>2291</v>
      </c>
      <c r="B9" s="8">
        <v>43676</v>
      </c>
      <c r="C9" t="s">
        <v>2292</v>
      </c>
      <c r="D9" t="s">
        <v>6167</v>
      </c>
      <c r="E9">
        <v>5</v>
      </c>
      <c r="F9" t="s">
        <v>2293</v>
      </c>
      <c r="G9" t="s">
        <v>2294</v>
      </c>
      <c r="H9" t="s">
        <v>19</v>
      </c>
      <c r="I9" t="s">
        <v>6193</v>
      </c>
      <c r="J9" t="s">
        <v>6186</v>
      </c>
      <c r="K9">
        <v>0.2</v>
      </c>
      <c r="L9">
        <v>3.8849999999999998</v>
      </c>
      <c r="M9">
        <v>19.424999999999997</v>
      </c>
      <c r="N9" t="s">
        <v>6221</v>
      </c>
      <c r="O9" t="s">
        <v>6230</v>
      </c>
    </row>
    <row r="10" spans="1:15" x14ac:dyDescent="0.25">
      <c r="A10" t="s">
        <v>971</v>
      </c>
      <c r="B10" s="8">
        <v>43664</v>
      </c>
      <c r="C10" t="s">
        <v>972</v>
      </c>
      <c r="D10" t="s">
        <v>6154</v>
      </c>
      <c r="E10">
        <v>4</v>
      </c>
      <c r="F10" t="s">
        <v>973</v>
      </c>
      <c r="G10" t="s">
        <v>974</v>
      </c>
      <c r="H10" t="s">
        <v>19</v>
      </c>
      <c r="I10" t="s">
        <v>6193</v>
      </c>
      <c r="J10" t="s">
        <v>6187</v>
      </c>
      <c r="K10">
        <v>0.2</v>
      </c>
      <c r="L10">
        <v>2.9849999999999999</v>
      </c>
      <c r="M10">
        <v>11.94</v>
      </c>
      <c r="N10" t="s">
        <v>6221</v>
      </c>
      <c r="O10" t="s">
        <v>6225</v>
      </c>
    </row>
    <row r="11" spans="1:15" x14ac:dyDescent="0.25">
      <c r="A11" t="s">
        <v>971</v>
      </c>
      <c r="B11" s="8">
        <v>43664</v>
      </c>
      <c r="C11" t="s">
        <v>972</v>
      </c>
      <c r="D11" t="s">
        <v>6182</v>
      </c>
      <c r="E11">
        <v>3</v>
      </c>
      <c r="F11" t="s">
        <v>973</v>
      </c>
      <c r="G11" t="s">
        <v>974</v>
      </c>
      <c r="H11" t="s">
        <v>19</v>
      </c>
      <c r="I11" t="s">
        <v>6193</v>
      </c>
      <c r="J11" t="s">
        <v>6186</v>
      </c>
      <c r="K11">
        <v>2.5</v>
      </c>
      <c r="L11">
        <v>29.784999999999997</v>
      </c>
      <c r="M11">
        <v>89.35499999999999</v>
      </c>
      <c r="N11" t="s">
        <v>6221</v>
      </c>
      <c r="O11" t="s">
        <v>6230</v>
      </c>
    </row>
    <row r="12" spans="1:15" x14ac:dyDescent="0.25">
      <c r="A12" t="s">
        <v>4741</v>
      </c>
      <c r="B12" s="8">
        <v>43648</v>
      </c>
      <c r="C12" t="s">
        <v>4742</v>
      </c>
      <c r="D12" t="s">
        <v>6141</v>
      </c>
      <c r="E12">
        <v>2</v>
      </c>
      <c r="F12" t="s">
        <v>4743</v>
      </c>
      <c r="G12" t="s">
        <v>4744</v>
      </c>
      <c r="H12" t="s">
        <v>19</v>
      </c>
      <c r="I12" t="s">
        <v>6194</v>
      </c>
      <c r="J12" t="s">
        <v>6188</v>
      </c>
      <c r="K12">
        <v>1</v>
      </c>
      <c r="L12">
        <v>13.75</v>
      </c>
      <c r="M12">
        <v>27.5</v>
      </c>
      <c r="N12" t="s">
        <v>6222</v>
      </c>
      <c r="O12" t="s">
        <v>6226</v>
      </c>
    </row>
    <row r="13" spans="1:15" x14ac:dyDescent="0.25">
      <c r="A13" t="s">
        <v>3818</v>
      </c>
      <c r="B13" s="8">
        <v>43671</v>
      </c>
      <c r="C13" t="s">
        <v>3819</v>
      </c>
      <c r="D13" t="s">
        <v>6148</v>
      </c>
      <c r="E13">
        <v>6</v>
      </c>
      <c r="F13" t="s">
        <v>3820</v>
      </c>
      <c r="G13" t="s">
        <v>3821</v>
      </c>
      <c r="H13" t="s">
        <v>19</v>
      </c>
      <c r="I13" t="s">
        <v>6194</v>
      </c>
      <c r="J13" t="s">
        <v>6186</v>
      </c>
      <c r="K13">
        <v>2.5</v>
      </c>
      <c r="L13">
        <v>34.154999999999994</v>
      </c>
      <c r="M13">
        <v>204.92999999999995</v>
      </c>
      <c r="N13" t="s">
        <v>6222</v>
      </c>
      <c r="O13" t="s">
        <v>6230</v>
      </c>
    </row>
    <row r="14" spans="1:15" x14ac:dyDescent="0.25">
      <c r="A14" t="s">
        <v>2319</v>
      </c>
      <c r="B14" s="8">
        <v>43666</v>
      </c>
      <c r="C14" t="s">
        <v>2320</v>
      </c>
      <c r="D14" t="s">
        <v>6141</v>
      </c>
      <c r="E14">
        <v>1</v>
      </c>
      <c r="F14" t="s">
        <v>2321</v>
      </c>
      <c r="G14" t="s">
        <v>6228</v>
      </c>
      <c r="H14" t="s">
        <v>19</v>
      </c>
      <c r="I14" t="s">
        <v>6194</v>
      </c>
      <c r="J14" t="s">
        <v>6188</v>
      </c>
      <c r="K14">
        <v>1</v>
      </c>
      <c r="L14">
        <v>13.75</v>
      </c>
      <c r="M14">
        <v>13.75</v>
      </c>
      <c r="N14" t="s">
        <v>6222</v>
      </c>
      <c r="O14" t="s">
        <v>6226</v>
      </c>
    </row>
    <row r="15" spans="1:15" x14ac:dyDescent="0.25">
      <c r="A15" t="s">
        <v>2291</v>
      </c>
      <c r="B15" s="8">
        <v>43676</v>
      </c>
      <c r="C15" t="s">
        <v>2292</v>
      </c>
      <c r="D15" t="s">
        <v>6156</v>
      </c>
      <c r="E15">
        <v>2</v>
      </c>
      <c r="F15" t="s">
        <v>2293</v>
      </c>
      <c r="G15" t="s">
        <v>2294</v>
      </c>
      <c r="H15" t="s">
        <v>19</v>
      </c>
      <c r="I15" t="s">
        <v>6194</v>
      </c>
      <c r="J15" t="s">
        <v>6188</v>
      </c>
      <c r="K15">
        <v>0.2</v>
      </c>
      <c r="L15">
        <v>4.125</v>
      </c>
      <c r="M15">
        <v>8.25</v>
      </c>
      <c r="N15" t="s">
        <v>6222</v>
      </c>
      <c r="O15" t="s">
        <v>6226</v>
      </c>
    </row>
    <row r="16" spans="1:15" x14ac:dyDescent="0.25">
      <c r="A16" t="s">
        <v>2015</v>
      </c>
      <c r="B16" s="8">
        <v>43655</v>
      </c>
      <c r="C16" t="s">
        <v>2016</v>
      </c>
      <c r="D16" t="s">
        <v>6144</v>
      </c>
      <c r="E16">
        <v>1</v>
      </c>
      <c r="F16" t="s">
        <v>2017</v>
      </c>
      <c r="G16" t="s">
        <v>6228</v>
      </c>
      <c r="H16" t="s">
        <v>318</v>
      </c>
      <c r="I16" t="s">
        <v>6194</v>
      </c>
      <c r="J16" t="s">
        <v>6187</v>
      </c>
      <c r="K16">
        <v>0.5</v>
      </c>
      <c r="L16">
        <v>7.29</v>
      </c>
      <c r="M16">
        <v>7.29</v>
      </c>
      <c r="N16" t="s">
        <v>6222</v>
      </c>
      <c r="O16" t="s">
        <v>6225</v>
      </c>
    </row>
    <row r="17" spans="1:15" x14ac:dyDescent="0.25">
      <c r="A17" t="s">
        <v>1216</v>
      </c>
      <c r="B17" s="8">
        <v>43652</v>
      </c>
      <c r="C17" t="s">
        <v>1217</v>
      </c>
      <c r="D17" t="s">
        <v>6183</v>
      </c>
      <c r="E17">
        <v>1</v>
      </c>
      <c r="F17" t="s">
        <v>1218</v>
      </c>
      <c r="G17" t="s">
        <v>1219</v>
      </c>
      <c r="H17" t="s">
        <v>19</v>
      </c>
      <c r="I17" t="s">
        <v>6194</v>
      </c>
      <c r="J17" t="s">
        <v>6187</v>
      </c>
      <c r="K17">
        <v>1</v>
      </c>
      <c r="L17">
        <v>12.15</v>
      </c>
      <c r="M17">
        <v>12.15</v>
      </c>
      <c r="N17" t="s">
        <v>6222</v>
      </c>
      <c r="O17" t="s">
        <v>6225</v>
      </c>
    </row>
    <row r="18" spans="1:15" x14ac:dyDescent="0.25">
      <c r="A18" t="s">
        <v>5967</v>
      </c>
      <c r="B18" s="8">
        <v>43649</v>
      </c>
      <c r="C18" t="s">
        <v>5968</v>
      </c>
      <c r="D18" t="s">
        <v>6143</v>
      </c>
      <c r="E18">
        <v>1</v>
      </c>
      <c r="F18" t="s">
        <v>5969</v>
      </c>
      <c r="G18" t="s">
        <v>5970</v>
      </c>
      <c r="H18" t="s">
        <v>19</v>
      </c>
      <c r="I18" t="s">
        <v>6195</v>
      </c>
      <c r="J18" t="s">
        <v>6187</v>
      </c>
      <c r="K18">
        <v>1</v>
      </c>
      <c r="L18">
        <v>12.95</v>
      </c>
      <c r="M18">
        <v>12.95</v>
      </c>
      <c r="N18" t="s">
        <v>6223</v>
      </c>
      <c r="O18" t="s">
        <v>6225</v>
      </c>
    </row>
    <row r="19" spans="1:15" x14ac:dyDescent="0.25">
      <c r="A19" t="s">
        <v>3665</v>
      </c>
      <c r="B19" s="8">
        <v>43669</v>
      </c>
      <c r="C19" t="s">
        <v>3666</v>
      </c>
      <c r="D19" t="s">
        <v>6145</v>
      </c>
      <c r="E19">
        <v>6</v>
      </c>
      <c r="F19" t="s">
        <v>3667</v>
      </c>
      <c r="G19" t="s">
        <v>3668</v>
      </c>
      <c r="H19" t="s">
        <v>28</v>
      </c>
      <c r="I19" t="s">
        <v>6195</v>
      </c>
      <c r="J19" t="s">
        <v>6186</v>
      </c>
      <c r="K19">
        <v>0.2</v>
      </c>
      <c r="L19">
        <v>4.7549999999999999</v>
      </c>
      <c r="M19">
        <v>28.53</v>
      </c>
      <c r="N19" t="s">
        <v>6223</v>
      </c>
      <c r="O19" t="s">
        <v>6230</v>
      </c>
    </row>
    <row r="20" spans="1:15" x14ac:dyDescent="0.25">
      <c r="A20" t="s">
        <v>3254</v>
      </c>
      <c r="B20" s="8">
        <v>43654</v>
      </c>
      <c r="C20" t="s">
        <v>3255</v>
      </c>
      <c r="D20" t="s">
        <v>6170</v>
      </c>
      <c r="E20">
        <v>6</v>
      </c>
      <c r="F20" t="s">
        <v>3256</v>
      </c>
      <c r="G20" t="s">
        <v>3257</v>
      </c>
      <c r="H20" t="s">
        <v>19</v>
      </c>
      <c r="I20" t="s">
        <v>6195</v>
      </c>
      <c r="J20" t="s">
        <v>6186</v>
      </c>
      <c r="K20">
        <v>1</v>
      </c>
      <c r="L20">
        <v>15.85</v>
      </c>
      <c r="M20">
        <v>95.1</v>
      </c>
      <c r="N20" t="s">
        <v>6223</v>
      </c>
      <c r="O20" t="s">
        <v>6230</v>
      </c>
    </row>
    <row r="21" spans="1:15" x14ac:dyDescent="0.25">
      <c r="A21" t="s">
        <v>3070</v>
      </c>
      <c r="B21" s="8">
        <v>43671</v>
      </c>
      <c r="C21" t="s">
        <v>3071</v>
      </c>
      <c r="D21" t="s">
        <v>6161</v>
      </c>
      <c r="E21">
        <v>5</v>
      </c>
      <c r="F21" t="s">
        <v>3072</v>
      </c>
      <c r="G21" t="s">
        <v>3073</v>
      </c>
      <c r="H21" t="s">
        <v>19</v>
      </c>
      <c r="I21" t="s">
        <v>6195</v>
      </c>
      <c r="J21" t="s">
        <v>6186</v>
      </c>
      <c r="K21">
        <v>0.5</v>
      </c>
      <c r="L21">
        <v>9.51</v>
      </c>
      <c r="M21">
        <v>47.55</v>
      </c>
      <c r="N21" t="s">
        <v>6223</v>
      </c>
      <c r="O21" t="s">
        <v>6230</v>
      </c>
    </row>
    <row r="22" spans="1:15" x14ac:dyDescent="0.25">
      <c r="A22" t="s">
        <v>5495</v>
      </c>
      <c r="B22" s="8">
        <v>43664</v>
      </c>
      <c r="C22" t="s">
        <v>5496</v>
      </c>
      <c r="D22" t="s">
        <v>6149</v>
      </c>
      <c r="E22">
        <v>6</v>
      </c>
      <c r="F22" t="s">
        <v>5497</v>
      </c>
      <c r="G22" t="s">
        <v>5498</v>
      </c>
      <c r="H22" t="s">
        <v>318</v>
      </c>
      <c r="I22" t="s">
        <v>6192</v>
      </c>
      <c r="J22" t="s">
        <v>6187</v>
      </c>
      <c r="K22">
        <v>2.5</v>
      </c>
      <c r="L22">
        <v>20.584999999999997</v>
      </c>
      <c r="M22">
        <v>123.50999999999999</v>
      </c>
      <c r="N22" t="s">
        <v>6224</v>
      </c>
      <c r="O22" t="s">
        <v>6225</v>
      </c>
    </row>
    <row r="23" spans="1:15" x14ac:dyDescent="0.25">
      <c r="A23" t="s">
        <v>4814</v>
      </c>
      <c r="B23" s="8">
        <v>43667</v>
      </c>
      <c r="C23" t="s">
        <v>4815</v>
      </c>
      <c r="D23" t="s">
        <v>6138</v>
      </c>
      <c r="E23">
        <v>6</v>
      </c>
      <c r="F23" t="s">
        <v>4816</v>
      </c>
      <c r="G23" t="s">
        <v>4817</v>
      </c>
      <c r="H23" t="s">
        <v>19</v>
      </c>
      <c r="I23" t="s">
        <v>6192</v>
      </c>
      <c r="J23" t="s">
        <v>6188</v>
      </c>
      <c r="K23">
        <v>1</v>
      </c>
      <c r="L23">
        <v>9.9499999999999993</v>
      </c>
      <c r="M23">
        <v>59.699999999999996</v>
      </c>
      <c r="N23" t="s">
        <v>6224</v>
      </c>
      <c r="O23" t="s">
        <v>6226</v>
      </c>
    </row>
    <row r="24" spans="1:15" x14ac:dyDescent="0.25">
      <c r="A24" t="s">
        <v>4776</v>
      </c>
      <c r="B24" s="8">
        <v>43672</v>
      </c>
      <c r="C24" t="s">
        <v>4777</v>
      </c>
      <c r="D24" t="s">
        <v>6177</v>
      </c>
      <c r="E24">
        <v>1</v>
      </c>
      <c r="F24" t="s">
        <v>4778</v>
      </c>
      <c r="G24" t="s">
        <v>4779</v>
      </c>
      <c r="H24" t="s">
        <v>19</v>
      </c>
      <c r="I24" t="s">
        <v>6192</v>
      </c>
      <c r="J24" t="s">
        <v>6187</v>
      </c>
      <c r="K24">
        <v>1</v>
      </c>
      <c r="L24">
        <v>8.9499999999999993</v>
      </c>
      <c r="M24">
        <v>8.9499999999999993</v>
      </c>
      <c r="N24" t="s">
        <v>6224</v>
      </c>
      <c r="O24" t="s">
        <v>6225</v>
      </c>
    </row>
    <row r="25" spans="1:15" x14ac:dyDescent="0.25">
      <c r="A25" t="s">
        <v>3895</v>
      </c>
      <c r="B25" s="8">
        <v>43660</v>
      </c>
      <c r="C25" t="s">
        <v>3896</v>
      </c>
      <c r="D25" t="s">
        <v>6174</v>
      </c>
      <c r="E25">
        <v>3</v>
      </c>
      <c r="F25" t="s">
        <v>3897</v>
      </c>
      <c r="G25" t="s">
        <v>3898</v>
      </c>
      <c r="H25" t="s">
        <v>19</v>
      </c>
      <c r="I25" t="s">
        <v>6192</v>
      </c>
      <c r="J25" t="s">
        <v>6188</v>
      </c>
      <c r="K25">
        <v>0.2</v>
      </c>
      <c r="L25">
        <v>2.9849999999999999</v>
      </c>
      <c r="M25">
        <v>8.9550000000000001</v>
      </c>
      <c r="N25" t="s">
        <v>6224</v>
      </c>
      <c r="O25" t="s">
        <v>6226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3484E-0704-4650-9843-E34568A7974F}">
  <dimension ref="K1:AB12"/>
  <sheetViews>
    <sheetView showGridLines="0" tabSelected="1" topLeftCell="A3" zoomScale="66" zoomScaleNormal="68" workbookViewId="0">
      <selection activeCell="AF24" sqref="AF24"/>
    </sheetView>
  </sheetViews>
  <sheetFormatPr defaultRowHeight="15" x14ac:dyDescent="0.25"/>
  <cols>
    <col min="1" max="1" width="1.7109375" customWidth="1"/>
  </cols>
  <sheetData>
    <row r="1" spans="11:28" ht="5.0999999999999996" customHeight="1" x14ac:dyDescent="0.25"/>
    <row r="6" spans="11:28" x14ac:dyDescent="0.25">
      <c r="K6" s="12"/>
    </row>
    <row r="12" spans="11:28" x14ac:dyDescent="0.25">
      <c r="AB12" t="s">
        <v>6233</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BCA48-D607-48F2-9C29-A5E5BC2C5AA7}">
  <dimension ref="A3:G53"/>
  <sheetViews>
    <sheetView zoomScale="86" zoomScaleNormal="86" workbookViewId="0">
      <selection activeCell="V20" sqref="V20"/>
    </sheetView>
  </sheetViews>
  <sheetFormatPr defaultRowHeight="15" x14ac:dyDescent="0.25"/>
  <cols>
    <col min="1" max="1" width="13.140625" bestFit="1" customWidth="1"/>
    <col min="2" max="2" width="23.28515625" bestFit="1" customWidth="1"/>
    <col min="3" max="6" width="20.85546875" bestFit="1" customWidth="1"/>
    <col min="7" max="7" width="11.5703125" bestFit="1" customWidth="1"/>
    <col min="8" max="8" width="11.28515625" bestFit="1" customWidth="1"/>
  </cols>
  <sheetData>
    <row r="3" spans="1:7" x14ac:dyDescent="0.25">
      <c r="A3" s="7" t="s">
        <v>6227</v>
      </c>
      <c r="C3" s="7" t="s">
        <v>6196</v>
      </c>
    </row>
    <row r="4" spans="1:7" x14ac:dyDescent="0.25">
      <c r="A4" s="7" t="s">
        <v>6215</v>
      </c>
      <c r="B4" s="7" t="s">
        <v>6216</v>
      </c>
      <c r="C4" t="s">
        <v>6221</v>
      </c>
      <c r="D4" t="s">
        <v>6222</v>
      </c>
      <c r="E4" t="s">
        <v>6223</v>
      </c>
      <c r="F4" t="s">
        <v>6224</v>
      </c>
      <c r="G4" t="s">
        <v>6198</v>
      </c>
    </row>
    <row r="5" spans="1:7" x14ac:dyDescent="0.25">
      <c r="A5" t="s">
        <v>6199</v>
      </c>
      <c r="B5" t="s">
        <v>6203</v>
      </c>
      <c r="C5" s="10">
        <v>186.85499999999999</v>
      </c>
      <c r="D5" s="10">
        <v>305.97000000000003</v>
      </c>
      <c r="E5" s="10">
        <v>213.15999999999997</v>
      </c>
      <c r="F5" s="10">
        <v>123</v>
      </c>
      <c r="G5" s="10">
        <v>828.98500000000001</v>
      </c>
    </row>
    <row r="6" spans="1:7" x14ac:dyDescent="0.25">
      <c r="B6" t="s">
        <v>6204</v>
      </c>
      <c r="C6" s="10">
        <v>251.96499999999997</v>
      </c>
      <c r="D6" s="10">
        <v>129.46</v>
      </c>
      <c r="E6" s="10">
        <v>434.03999999999996</v>
      </c>
      <c r="F6" s="10">
        <v>171.93999999999997</v>
      </c>
      <c r="G6" s="10">
        <v>987.40499999999986</v>
      </c>
    </row>
    <row r="7" spans="1:7" x14ac:dyDescent="0.25">
      <c r="B7" t="s">
        <v>6205</v>
      </c>
      <c r="C7" s="10">
        <v>224.94499999999999</v>
      </c>
      <c r="D7" s="10">
        <v>349.12</v>
      </c>
      <c r="E7" s="10">
        <v>321.04000000000002</v>
      </c>
      <c r="F7" s="10">
        <v>126.035</v>
      </c>
      <c r="G7" s="10">
        <v>1021.14</v>
      </c>
    </row>
    <row r="8" spans="1:7" x14ac:dyDescent="0.25">
      <c r="B8" t="s">
        <v>6206</v>
      </c>
      <c r="C8" s="10">
        <v>307.12</v>
      </c>
      <c r="D8" s="10">
        <v>681.07499999999993</v>
      </c>
      <c r="E8" s="10">
        <v>533.70499999999993</v>
      </c>
      <c r="F8" s="10">
        <v>158.85</v>
      </c>
      <c r="G8" s="10">
        <v>1680.7499999999998</v>
      </c>
    </row>
    <row r="9" spans="1:7" x14ac:dyDescent="0.25">
      <c r="B9" t="s">
        <v>6207</v>
      </c>
      <c r="C9" s="10">
        <v>53.664999999999992</v>
      </c>
      <c r="D9" s="10">
        <v>83.025000000000006</v>
      </c>
      <c r="E9" s="10">
        <v>193.83499999999998</v>
      </c>
      <c r="F9" s="10">
        <v>68.039999999999992</v>
      </c>
      <c r="G9" s="10">
        <v>398.56499999999994</v>
      </c>
    </row>
    <row r="10" spans="1:7" x14ac:dyDescent="0.25">
      <c r="B10" t="s">
        <v>6208</v>
      </c>
      <c r="C10" s="10">
        <v>163.01999999999998</v>
      </c>
      <c r="D10" s="10">
        <v>678.3599999999999</v>
      </c>
      <c r="E10" s="10">
        <v>171.04500000000002</v>
      </c>
      <c r="F10" s="10">
        <v>372.255</v>
      </c>
      <c r="G10" s="10">
        <v>1384.6799999999998</v>
      </c>
    </row>
    <row r="11" spans="1:7" x14ac:dyDescent="0.25">
      <c r="B11" t="s">
        <v>6209</v>
      </c>
      <c r="C11" s="10">
        <v>345.02</v>
      </c>
      <c r="D11" s="10">
        <v>273.86999999999995</v>
      </c>
      <c r="E11" s="10">
        <v>184.12999999999997</v>
      </c>
      <c r="F11" s="10">
        <v>201.11499999999998</v>
      </c>
      <c r="G11" s="10">
        <v>1004.1349999999999</v>
      </c>
    </row>
    <row r="12" spans="1:7" x14ac:dyDescent="0.25">
      <c r="B12" t="s">
        <v>6210</v>
      </c>
      <c r="C12" s="10">
        <v>334.89</v>
      </c>
      <c r="D12" s="10">
        <v>70.95</v>
      </c>
      <c r="E12" s="10">
        <v>134.23000000000002</v>
      </c>
      <c r="F12" s="10">
        <v>166.27499999999998</v>
      </c>
      <c r="G12" s="10">
        <v>706.34499999999991</v>
      </c>
    </row>
    <row r="13" spans="1:7" x14ac:dyDescent="0.25">
      <c r="B13" t="s">
        <v>6211</v>
      </c>
      <c r="C13" s="10">
        <v>178.70999999999998</v>
      </c>
      <c r="D13" s="10">
        <v>166.1</v>
      </c>
      <c r="E13" s="10">
        <v>439.30999999999995</v>
      </c>
      <c r="F13" s="10">
        <v>492.9</v>
      </c>
      <c r="G13" s="10">
        <v>1277.02</v>
      </c>
    </row>
    <row r="14" spans="1:7" x14ac:dyDescent="0.25">
      <c r="B14" t="s">
        <v>6212</v>
      </c>
      <c r="C14" s="10">
        <v>301.98500000000001</v>
      </c>
      <c r="D14" s="10">
        <v>153.76499999999999</v>
      </c>
      <c r="E14" s="10">
        <v>215.55499999999998</v>
      </c>
      <c r="F14" s="10">
        <v>213.66499999999999</v>
      </c>
      <c r="G14" s="10">
        <v>884.96999999999991</v>
      </c>
    </row>
    <row r="15" spans="1:7" x14ac:dyDescent="0.25">
      <c r="B15" t="s">
        <v>6213</v>
      </c>
      <c r="C15" s="10">
        <v>312.83499999999998</v>
      </c>
      <c r="D15" s="10">
        <v>63.249999999999993</v>
      </c>
      <c r="E15" s="10">
        <v>350.89500000000004</v>
      </c>
      <c r="F15" s="10">
        <v>96.405000000000001</v>
      </c>
      <c r="G15" s="10">
        <v>823.38499999999999</v>
      </c>
    </row>
    <row r="16" spans="1:7" x14ac:dyDescent="0.25">
      <c r="B16" t="s">
        <v>6214</v>
      </c>
      <c r="C16" s="10">
        <v>265.62</v>
      </c>
      <c r="D16" s="10">
        <v>526.51499999999987</v>
      </c>
      <c r="E16" s="10">
        <v>187.06</v>
      </c>
      <c r="F16" s="10">
        <v>210.58999999999997</v>
      </c>
      <c r="G16" s="10">
        <v>1189.7849999999999</v>
      </c>
    </row>
    <row r="17" spans="1:7" x14ac:dyDescent="0.25">
      <c r="A17" t="s">
        <v>6217</v>
      </c>
      <c r="C17" s="10">
        <v>2926.63</v>
      </c>
      <c r="D17" s="10">
        <v>3481.4599999999996</v>
      </c>
      <c r="E17" s="10">
        <v>3378.0049999999997</v>
      </c>
      <c r="F17" s="10">
        <v>2401.0700000000002</v>
      </c>
      <c r="G17" s="10">
        <v>12187.164999999999</v>
      </c>
    </row>
    <row r="18" spans="1:7" x14ac:dyDescent="0.25">
      <c r="A18" t="s">
        <v>6200</v>
      </c>
      <c r="B18" t="s">
        <v>6203</v>
      </c>
      <c r="C18" s="10">
        <v>47.25</v>
      </c>
      <c r="D18" s="10">
        <v>65.805000000000007</v>
      </c>
      <c r="E18" s="10">
        <v>274.67500000000001</v>
      </c>
      <c r="F18" s="10">
        <v>179.22</v>
      </c>
      <c r="G18" s="10">
        <v>566.95000000000005</v>
      </c>
    </row>
    <row r="19" spans="1:7" x14ac:dyDescent="0.25">
      <c r="B19" t="s">
        <v>6204</v>
      </c>
      <c r="C19" s="10">
        <v>745.44999999999993</v>
      </c>
      <c r="D19" s="10">
        <v>428.88499999999999</v>
      </c>
      <c r="E19" s="10">
        <v>194.17499999999998</v>
      </c>
      <c r="F19" s="10">
        <v>429.82999999999993</v>
      </c>
      <c r="G19" s="10">
        <v>1798.34</v>
      </c>
    </row>
    <row r="20" spans="1:7" x14ac:dyDescent="0.25">
      <c r="B20" t="s">
        <v>6205</v>
      </c>
      <c r="C20" s="10">
        <v>130.47</v>
      </c>
      <c r="D20" s="10">
        <v>271.48500000000001</v>
      </c>
      <c r="E20" s="10">
        <v>281.20499999999998</v>
      </c>
      <c r="F20" s="10">
        <v>231.63000000000002</v>
      </c>
      <c r="G20" s="10">
        <v>914.79000000000008</v>
      </c>
    </row>
    <row r="21" spans="1:7" x14ac:dyDescent="0.25">
      <c r="B21" t="s">
        <v>6206</v>
      </c>
      <c r="C21" s="10">
        <v>27</v>
      </c>
      <c r="D21" s="10">
        <v>347.26</v>
      </c>
      <c r="E21" s="10">
        <v>147.51</v>
      </c>
      <c r="F21" s="10">
        <v>240.04</v>
      </c>
      <c r="G21" s="10">
        <v>761.81</v>
      </c>
    </row>
    <row r="22" spans="1:7" x14ac:dyDescent="0.25">
      <c r="B22" t="s">
        <v>6207</v>
      </c>
      <c r="C22" s="10">
        <v>255.11499999999995</v>
      </c>
      <c r="D22" s="10">
        <v>541.73</v>
      </c>
      <c r="E22" s="10">
        <v>83.43</v>
      </c>
      <c r="F22" s="10">
        <v>59.079999999999991</v>
      </c>
      <c r="G22" s="10">
        <v>939.35500000000013</v>
      </c>
    </row>
    <row r="23" spans="1:7" x14ac:dyDescent="0.25">
      <c r="B23" t="s">
        <v>6208</v>
      </c>
      <c r="C23" s="10">
        <v>584.78999999999985</v>
      </c>
      <c r="D23" s="10">
        <v>357.42999999999995</v>
      </c>
      <c r="E23" s="10">
        <v>355.34</v>
      </c>
      <c r="F23" s="10">
        <v>140.88</v>
      </c>
      <c r="G23" s="10">
        <v>1438.4399999999996</v>
      </c>
    </row>
    <row r="24" spans="1:7" x14ac:dyDescent="0.25">
      <c r="B24" t="s">
        <v>6209</v>
      </c>
      <c r="C24" s="10">
        <v>430.62</v>
      </c>
      <c r="D24" s="10">
        <v>227.42500000000001</v>
      </c>
      <c r="E24" s="10">
        <v>236.315</v>
      </c>
      <c r="F24" s="10">
        <v>414.58499999999992</v>
      </c>
      <c r="G24" s="10">
        <v>1308.9450000000002</v>
      </c>
    </row>
    <row r="25" spans="1:7" x14ac:dyDescent="0.25">
      <c r="B25" t="s">
        <v>6210</v>
      </c>
      <c r="C25" s="10">
        <v>22.5</v>
      </c>
      <c r="D25" s="10">
        <v>77.72</v>
      </c>
      <c r="E25" s="10">
        <v>60.5</v>
      </c>
      <c r="F25" s="10">
        <v>139.67999999999998</v>
      </c>
      <c r="G25" s="10">
        <v>300.39999999999998</v>
      </c>
    </row>
    <row r="26" spans="1:7" x14ac:dyDescent="0.25">
      <c r="B26" t="s">
        <v>6211</v>
      </c>
      <c r="C26" s="10">
        <v>126.14999999999999</v>
      </c>
      <c r="D26" s="10">
        <v>195.11</v>
      </c>
      <c r="E26" s="10">
        <v>89.13</v>
      </c>
      <c r="F26" s="10">
        <v>302.65999999999997</v>
      </c>
      <c r="G26" s="10">
        <v>713.05</v>
      </c>
    </row>
    <row r="27" spans="1:7" x14ac:dyDescent="0.25">
      <c r="B27" t="s">
        <v>6212</v>
      </c>
      <c r="C27" s="10">
        <v>376.03</v>
      </c>
      <c r="D27" s="10">
        <v>523.24</v>
      </c>
      <c r="E27" s="10">
        <v>440.96499999999997</v>
      </c>
      <c r="F27" s="10">
        <v>174.46999999999997</v>
      </c>
      <c r="G27" s="10">
        <v>1514.7049999999999</v>
      </c>
    </row>
    <row r="28" spans="1:7" x14ac:dyDescent="0.25">
      <c r="B28" t="s">
        <v>6213</v>
      </c>
      <c r="C28" s="10">
        <v>515.17999999999995</v>
      </c>
      <c r="D28" s="10">
        <v>142.56</v>
      </c>
      <c r="E28" s="10">
        <v>347.03999999999996</v>
      </c>
      <c r="F28" s="10">
        <v>104.08499999999999</v>
      </c>
      <c r="G28" s="10">
        <v>1108.865</v>
      </c>
    </row>
    <row r="29" spans="1:7" x14ac:dyDescent="0.25">
      <c r="B29" t="s">
        <v>6214</v>
      </c>
      <c r="C29" s="10">
        <v>95.859999999999985</v>
      </c>
      <c r="D29" s="10">
        <v>484.76</v>
      </c>
      <c r="E29" s="10">
        <v>94.17</v>
      </c>
      <c r="F29" s="10">
        <v>77.10499999999999</v>
      </c>
      <c r="G29" s="10">
        <v>751.89499999999998</v>
      </c>
    </row>
    <row r="30" spans="1:7" x14ac:dyDescent="0.25">
      <c r="A30" t="s">
        <v>6218</v>
      </c>
      <c r="C30" s="10">
        <v>3356.415</v>
      </c>
      <c r="D30" s="10">
        <v>3663.41</v>
      </c>
      <c r="E30" s="10">
        <v>2604.4550000000004</v>
      </c>
      <c r="F30" s="10">
        <v>2493.2649999999999</v>
      </c>
      <c r="G30" s="10">
        <v>12117.544999999998</v>
      </c>
    </row>
    <row r="31" spans="1:7" x14ac:dyDescent="0.25">
      <c r="A31" t="s">
        <v>6201</v>
      </c>
      <c r="B31" t="s">
        <v>6203</v>
      </c>
      <c r="C31" s="10">
        <v>258.34500000000003</v>
      </c>
      <c r="D31" s="10">
        <v>139.625</v>
      </c>
      <c r="E31" s="10">
        <v>279.52000000000004</v>
      </c>
      <c r="F31" s="10">
        <v>160.19499999999999</v>
      </c>
      <c r="G31" s="10">
        <v>837.68499999999995</v>
      </c>
    </row>
    <row r="32" spans="1:7" x14ac:dyDescent="0.25">
      <c r="B32" t="s">
        <v>6204</v>
      </c>
      <c r="C32" s="10">
        <v>342.2</v>
      </c>
      <c r="D32" s="10">
        <v>284.24999999999994</v>
      </c>
      <c r="E32" s="10">
        <v>251.83</v>
      </c>
      <c r="F32" s="10">
        <v>80.550000000000011</v>
      </c>
      <c r="G32" s="10">
        <v>958.82999999999993</v>
      </c>
    </row>
    <row r="33" spans="1:7" x14ac:dyDescent="0.25">
      <c r="B33" t="s">
        <v>6205</v>
      </c>
      <c r="C33" s="10">
        <v>418.30499999999989</v>
      </c>
      <c r="D33" s="10">
        <v>468.125</v>
      </c>
      <c r="E33" s="10">
        <v>405.05500000000006</v>
      </c>
      <c r="F33" s="10">
        <v>253.15499999999997</v>
      </c>
      <c r="G33" s="10">
        <v>1544.6399999999999</v>
      </c>
    </row>
    <row r="34" spans="1:7" x14ac:dyDescent="0.25">
      <c r="B34" t="s">
        <v>6206</v>
      </c>
      <c r="C34" s="10">
        <v>102.32999999999998</v>
      </c>
      <c r="D34" s="10">
        <v>242.14000000000001</v>
      </c>
      <c r="E34" s="10">
        <v>554.875</v>
      </c>
      <c r="F34" s="10">
        <v>106.23999999999998</v>
      </c>
      <c r="G34" s="10">
        <v>1005.585</v>
      </c>
    </row>
    <row r="35" spans="1:7" x14ac:dyDescent="0.25">
      <c r="B35" t="s">
        <v>6207</v>
      </c>
      <c r="C35" s="10">
        <v>234.71999999999997</v>
      </c>
      <c r="D35" s="10">
        <v>133.08000000000001</v>
      </c>
      <c r="E35" s="10">
        <v>267.2</v>
      </c>
      <c r="F35" s="10">
        <v>272.68999999999994</v>
      </c>
      <c r="G35" s="10">
        <v>907.68999999999994</v>
      </c>
    </row>
    <row r="36" spans="1:7" x14ac:dyDescent="0.25">
      <c r="B36" t="s">
        <v>6208</v>
      </c>
      <c r="C36" s="10">
        <v>430.39</v>
      </c>
      <c r="D36" s="10">
        <v>136.20500000000001</v>
      </c>
      <c r="E36" s="10">
        <v>209.6</v>
      </c>
      <c r="F36" s="10">
        <v>88.334999999999994</v>
      </c>
      <c r="G36" s="10">
        <v>864.53000000000009</v>
      </c>
    </row>
    <row r="37" spans="1:7" x14ac:dyDescent="0.25">
      <c r="B37" t="s">
        <v>6209</v>
      </c>
      <c r="C37" s="10">
        <v>109.005</v>
      </c>
      <c r="D37" s="10">
        <v>393.57499999999999</v>
      </c>
      <c r="E37" s="10">
        <v>61.034999999999997</v>
      </c>
      <c r="F37" s="10">
        <v>199.48999999999998</v>
      </c>
      <c r="G37" s="10">
        <v>763.10500000000002</v>
      </c>
    </row>
    <row r="38" spans="1:7" x14ac:dyDescent="0.25">
      <c r="B38" t="s">
        <v>6210</v>
      </c>
      <c r="C38" s="10">
        <v>287.52499999999998</v>
      </c>
      <c r="D38" s="10">
        <v>288.67</v>
      </c>
      <c r="E38" s="10">
        <v>125.58</v>
      </c>
      <c r="F38" s="10">
        <v>374.13499999999999</v>
      </c>
      <c r="G38" s="10">
        <v>1075.9099999999999</v>
      </c>
    </row>
    <row r="39" spans="1:7" x14ac:dyDescent="0.25">
      <c r="B39" t="s">
        <v>6211</v>
      </c>
      <c r="C39" s="10">
        <v>840.92999999999984</v>
      </c>
      <c r="D39" s="10">
        <v>409.875</v>
      </c>
      <c r="E39" s="10">
        <v>171.32999999999998</v>
      </c>
      <c r="F39" s="10">
        <v>221.43999999999997</v>
      </c>
      <c r="G39" s="10">
        <v>1643.5749999999998</v>
      </c>
    </row>
    <row r="40" spans="1:7" x14ac:dyDescent="0.25">
      <c r="B40" t="s">
        <v>6212</v>
      </c>
      <c r="C40" s="10">
        <v>299.07</v>
      </c>
      <c r="D40" s="10">
        <v>260.32499999999999</v>
      </c>
      <c r="E40" s="10">
        <v>584.64</v>
      </c>
      <c r="F40" s="10">
        <v>256.36500000000001</v>
      </c>
      <c r="G40" s="10">
        <v>1400.3999999999999</v>
      </c>
    </row>
    <row r="41" spans="1:7" x14ac:dyDescent="0.25">
      <c r="B41" t="s">
        <v>6213</v>
      </c>
      <c r="C41" s="10">
        <v>323.32499999999999</v>
      </c>
      <c r="D41" s="10">
        <v>565.57000000000005</v>
      </c>
      <c r="E41" s="10">
        <v>537.80999999999995</v>
      </c>
      <c r="F41" s="10">
        <v>189.47499999999999</v>
      </c>
      <c r="G41" s="10">
        <v>1616.1799999999998</v>
      </c>
    </row>
    <row r="42" spans="1:7" x14ac:dyDescent="0.25">
      <c r="B42" t="s">
        <v>6214</v>
      </c>
      <c r="C42" s="10">
        <v>399.48499999999996</v>
      </c>
      <c r="D42" s="10">
        <v>148.19999999999999</v>
      </c>
      <c r="E42" s="10">
        <v>388.21999999999997</v>
      </c>
      <c r="F42" s="10">
        <v>212.07499999999999</v>
      </c>
      <c r="G42" s="10">
        <v>1147.98</v>
      </c>
    </row>
    <row r="43" spans="1:7" x14ac:dyDescent="0.25">
      <c r="A43" t="s">
        <v>6219</v>
      </c>
      <c r="C43" s="10">
        <v>4045.63</v>
      </c>
      <c r="D43" s="10">
        <v>3469.64</v>
      </c>
      <c r="E43" s="10">
        <v>3836.6949999999997</v>
      </c>
      <c r="F43" s="10">
        <v>2414.145</v>
      </c>
      <c r="G43" s="10">
        <v>13766.109999999999</v>
      </c>
    </row>
    <row r="44" spans="1:7" x14ac:dyDescent="0.25">
      <c r="A44" t="s">
        <v>6202</v>
      </c>
      <c r="B44" t="s">
        <v>6203</v>
      </c>
      <c r="C44" s="10">
        <v>112.69499999999999</v>
      </c>
      <c r="D44" s="10">
        <v>166.32</v>
      </c>
      <c r="E44" s="10">
        <v>843.71499999999992</v>
      </c>
      <c r="F44" s="10">
        <v>146.685</v>
      </c>
      <c r="G44" s="10">
        <v>1269.415</v>
      </c>
    </row>
    <row r="45" spans="1:7" x14ac:dyDescent="0.25">
      <c r="B45" t="s">
        <v>6204</v>
      </c>
      <c r="C45" s="10">
        <v>114.87999999999998</v>
      </c>
      <c r="D45" s="10">
        <v>133.815</v>
      </c>
      <c r="E45" s="10">
        <v>91.175000000000011</v>
      </c>
      <c r="F45" s="10">
        <v>53.759999999999991</v>
      </c>
      <c r="G45" s="10">
        <v>393.63</v>
      </c>
    </row>
    <row r="46" spans="1:7" x14ac:dyDescent="0.25">
      <c r="B46" t="s">
        <v>6205</v>
      </c>
      <c r="C46" s="10">
        <v>277.76</v>
      </c>
      <c r="D46" s="10">
        <v>175.41</v>
      </c>
      <c r="E46" s="10">
        <v>462.50999999999993</v>
      </c>
      <c r="F46" s="10">
        <v>399.52499999999998</v>
      </c>
      <c r="G46" s="10">
        <v>1315.2049999999999</v>
      </c>
    </row>
    <row r="47" spans="1:7" x14ac:dyDescent="0.25">
      <c r="B47" t="s">
        <v>6206</v>
      </c>
      <c r="C47" s="10">
        <v>197.89499999999998</v>
      </c>
      <c r="D47" s="10">
        <v>289.755</v>
      </c>
      <c r="E47" s="10">
        <v>88.545000000000002</v>
      </c>
      <c r="F47" s="10">
        <v>200.25499999999997</v>
      </c>
      <c r="G47" s="10">
        <v>776.44999999999993</v>
      </c>
    </row>
    <row r="48" spans="1:7" x14ac:dyDescent="0.25">
      <c r="B48" t="s">
        <v>6207</v>
      </c>
      <c r="C48" s="10">
        <v>193.11499999999998</v>
      </c>
      <c r="D48" s="10">
        <v>212.49499999999998</v>
      </c>
      <c r="E48" s="10">
        <v>292.29000000000002</v>
      </c>
      <c r="F48" s="10">
        <v>304.46999999999997</v>
      </c>
      <c r="G48" s="10">
        <v>1002.3699999999999</v>
      </c>
    </row>
    <row r="49" spans="1:7" x14ac:dyDescent="0.25">
      <c r="B49" t="s">
        <v>6208</v>
      </c>
      <c r="C49" s="10">
        <v>179.79</v>
      </c>
      <c r="D49" s="10">
        <v>426.2</v>
      </c>
      <c r="E49" s="10">
        <v>170.08999999999997</v>
      </c>
      <c r="F49" s="10">
        <v>379.31</v>
      </c>
      <c r="G49" s="10">
        <v>1155.3899999999999</v>
      </c>
    </row>
    <row r="50" spans="1:7" x14ac:dyDescent="0.25">
      <c r="B50" t="s">
        <v>6209</v>
      </c>
      <c r="C50" s="10">
        <v>247.28999999999996</v>
      </c>
      <c r="D50" s="10">
        <v>246.685</v>
      </c>
      <c r="E50" s="10">
        <v>271.05499999999995</v>
      </c>
      <c r="F50" s="10">
        <v>141.69999999999999</v>
      </c>
      <c r="G50" s="10">
        <v>906.73</v>
      </c>
    </row>
    <row r="51" spans="1:7" x14ac:dyDescent="0.25">
      <c r="B51" t="s">
        <v>6210</v>
      </c>
      <c r="C51" s="10">
        <v>116.39499999999998</v>
      </c>
      <c r="D51" s="10">
        <v>41.25</v>
      </c>
      <c r="E51" s="10">
        <v>15.54</v>
      </c>
      <c r="F51" s="10">
        <v>71.06</v>
      </c>
      <c r="G51" s="10">
        <v>244.24499999999998</v>
      </c>
    </row>
    <row r="52" spans="1:7" x14ac:dyDescent="0.25">
      <c r="A52" t="s">
        <v>6220</v>
      </c>
      <c r="C52" s="10">
        <v>1439.82</v>
      </c>
      <c r="D52" s="10">
        <v>1691.9299999999998</v>
      </c>
      <c r="E52" s="10">
        <v>2234.9199999999996</v>
      </c>
      <c r="F52" s="10">
        <v>1696.7649999999999</v>
      </c>
      <c r="G52" s="10">
        <v>7063.4349999999986</v>
      </c>
    </row>
    <row r="53" spans="1:7" x14ac:dyDescent="0.25">
      <c r="A53" t="s">
        <v>6198</v>
      </c>
      <c r="C53" s="10">
        <v>11768.495000000003</v>
      </c>
      <c r="D53" s="10">
        <v>12306.440000000002</v>
      </c>
      <c r="E53" s="10">
        <v>12054.075000000003</v>
      </c>
      <c r="F53" s="10">
        <v>9005.244999999999</v>
      </c>
      <c r="G53" s="10">
        <v>45134.255000000005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5A526-FADE-4185-805A-D70D7A46EAAF}">
  <dimension ref="A3:B7"/>
  <sheetViews>
    <sheetView zoomScale="86" zoomScaleNormal="86" workbookViewId="0">
      <selection activeCell="A3" sqref="A3"/>
    </sheetView>
  </sheetViews>
  <sheetFormatPr defaultRowHeight="15" x14ac:dyDescent="0.25"/>
  <cols>
    <col min="1" max="1" width="15.7109375" bestFit="1" customWidth="1"/>
    <col min="2" max="2" width="12.42578125" bestFit="1" customWidth="1"/>
    <col min="3" max="3" width="15.7109375" bestFit="1" customWidth="1"/>
    <col min="4" max="4" width="12.42578125" bestFit="1" customWidth="1"/>
    <col min="5" max="7" width="20.85546875" bestFit="1" customWidth="1"/>
    <col min="8" max="8" width="11.5703125" bestFit="1" customWidth="1"/>
  </cols>
  <sheetData>
    <row r="3" spans="1:2" x14ac:dyDescent="0.25">
      <c r="A3" s="7" t="s">
        <v>7</v>
      </c>
      <c r="B3" t="s">
        <v>6227</v>
      </c>
    </row>
    <row r="4" spans="1:2" x14ac:dyDescent="0.25">
      <c r="A4" t="s">
        <v>28</v>
      </c>
      <c r="B4" s="11">
        <v>2798.5050000000001</v>
      </c>
    </row>
    <row r="5" spans="1:2" x14ac:dyDescent="0.25">
      <c r="A5" t="s">
        <v>318</v>
      </c>
      <c r="B5" s="11">
        <v>6696.8649999999989</v>
      </c>
    </row>
    <row r="6" spans="1:2" x14ac:dyDescent="0.25">
      <c r="A6" t="s">
        <v>19</v>
      </c>
      <c r="B6" s="11">
        <v>35638.88499999998</v>
      </c>
    </row>
    <row r="7" spans="1:2" x14ac:dyDescent="0.25">
      <c r="A7" t="s">
        <v>6198</v>
      </c>
      <c r="B7" s="11">
        <v>45134.254999999976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38EF3-575E-4155-B92D-E7CF142F7FDE}">
  <dimension ref="A3:B9"/>
  <sheetViews>
    <sheetView zoomScale="86" zoomScaleNormal="86" workbookViewId="0">
      <selection activeCell="A3" sqref="A3"/>
    </sheetView>
  </sheetViews>
  <sheetFormatPr defaultRowHeight="15" x14ac:dyDescent="0.25"/>
  <cols>
    <col min="1" max="1" width="18.85546875" bestFit="1" customWidth="1"/>
    <col min="2" max="2" width="12.42578125" bestFit="1" customWidth="1"/>
    <col min="3" max="3" width="15.7109375" bestFit="1" customWidth="1"/>
    <col min="4" max="4" width="12.42578125" bestFit="1" customWidth="1"/>
    <col min="5" max="7" width="20.85546875" bestFit="1" customWidth="1"/>
    <col min="8" max="8" width="11.5703125" bestFit="1" customWidth="1"/>
  </cols>
  <sheetData>
    <row r="3" spans="1:2" x14ac:dyDescent="0.25">
      <c r="A3" s="7" t="s">
        <v>4</v>
      </c>
      <c r="B3" t="s">
        <v>6227</v>
      </c>
    </row>
    <row r="4" spans="1:2" x14ac:dyDescent="0.25">
      <c r="A4" t="s">
        <v>3753</v>
      </c>
      <c r="B4" s="11">
        <v>278.01</v>
      </c>
    </row>
    <row r="5" spans="1:2" x14ac:dyDescent="0.25">
      <c r="A5" t="s">
        <v>1598</v>
      </c>
      <c r="B5" s="11">
        <v>281.67499999999995</v>
      </c>
    </row>
    <row r="6" spans="1:2" x14ac:dyDescent="0.25">
      <c r="A6" t="s">
        <v>2587</v>
      </c>
      <c r="B6" s="11">
        <v>289.11</v>
      </c>
    </row>
    <row r="7" spans="1:2" x14ac:dyDescent="0.25">
      <c r="A7" t="s">
        <v>5765</v>
      </c>
      <c r="B7" s="11">
        <v>307.04499999999996</v>
      </c>
    </row>
    <row r="8" spans="1:2" x14ac:dyDescent="0.25">
      <c r="A8" t="s">
        <v>5114</v>
      </c>
      <c r="B8" s="11">
        <v>317.06999999999994</v>
      </c>
    </row>
    <row r="9" spans="1:2" x14ac:dyDescent="0.25">
      <c r="A9" t="s">
        <v>6198</v>
      </c>
      <c r="B9" s="11">
        <v>1472.9099999999999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D1" zoomScale="86" zoomScaleNormal="86" workbookViewId="0">
      <selection activeCell="H3" sqref="H3"/>
    </sheetView>
  </sheetViews>
  <sheetFormatPr defaultRowHeight="15" x14ac:dyDescent="0.25"/>
  <cols>
    <col min="1" max="1" width="17.85546875" customWidth="1"/>
    <col min="2" max="2" width="13.140625" customWidth="1"/>
    <col min="3" max="3" width="17.42578125" bestFit="1" customWidth="1"/>
    <col min="4" max="4" width="18" customWidth="1"/>
    <col min="5" max="5" width="11.42578125" customWidth="1"/>
    <col min="6" max="6" width="23.28515625" customWidth="1"/>
    <col min="7" max="7" width="39.42578125" bestFit="1" customWidth="1"/>
    <col min="8" max="8" width="25.85546875" customWidth="1"/>
    <col min="9" max="9" width="14.28515625" customWidth="1"/>
    <col min="10" max="10" width="15" customWidth="1"/>
    <col min="11" max="11" width="10.140625" customWidth="1"/>
    <col min="12" max="12" width="15.140625" customWidth="1"/>
    <col min="13" max="13" width="10" customWidth="1"/>
    <col min="14" max="14" width="19.85546875" customWidth="1"/>
    <col min="15" max="15" width="18.7109375" customWidth="1"/>
    <col min="16" max="16" width="14.140625"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_xlfn.XLOOKUP(orders!C2,customers!$A$1:$A$1001,customers!$B$1:$B$1001,,0)</f>
        <v>Aloisia Allner</v>
      </c>
      <c r="G2" s="2" t="str">
        <f>IF(_xlfn.XLOOKUP(orders!C2,customers!$A$1:$A$1001,customers!$C$1:$C$1001,,0)=0,"",_xlfn.XLOOKUP(orders!C2,customers!$A$1:$A$1001,customers!$C$1:$C$1001,,0))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6">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5">
      <c r="A3" s="2" t="s">
        <v>490</v>
      </c>
      <c r="B3" s="3">
        <v>43713</v>
      </c>
      <c r="C3" s="2" t="s">
        <v>491</v>
      </c>
      <c r="D3" t="s">
        <v>6139</v>
      </c>
      <c r="E3" s="2">
        <v>5</v>
      </c>
      <c r="F3" s="2" t="str">
        <f>_xlfn.XLOOKUP(orders!C3,customers!$A$1:$A$1001,customers!$B$1:$B$1001,,0)</f>
        <v>Aloisia Allner</v>
      </c>
      <c r="G3" s="2" t="str">
        <f>IF(_xlfn.XLOOKUP(orders!C3,customers!$A$1:$A$1001,customers!$C$1:$C$1001,,0)=0,"",_xlfn.XLOOKUP(orders!C3,customers!$A$1:$A$1001,customers!$C$1:$C$1001,,0))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6">
        <f t="shared" ref="M3:M66" si="0">L3*E3</f>
        <v>41.25</v>
      </c>
      <c r="N3" t="str">
        <f t="shared" ref="N3:N66" si="1">IF(I3="Rob","Robusta",IF(I3="Exc","Excelsa",IF(I3="Ara","Arabica",IF(I3="Lib","Liberica",""))))</f>
        <v>Excelsa</v>
      </c>
      <c r="O3" t="str">
        <f t="shared" ref="O3:O66" si="2">IF(J3="M","Medium",IF(J3="L","Light",IF(J3="D","Dark","")))</f>
        <v>Medium</v>
      </c>
      <c r="P3" t="s">
        <v>6190</v>
      </c>
    </row>
    <row r="4" spans="1:16" x14ac:dyDescent="0.25">
      <c r="A4" s="2" t="s">
        <v>501</v>
      </c>
      <c r="B4" s="3">
        <v>44364</v>
      </c>
      <c r="C4" s="2" t="s">
        <v>502</v>
      </c>
      <c r="D4" t="s">
        <v>6140</v>
      </c>
      <c r="E4" s="2">
        <v>1</v>
      </c>
      <c r="F4" s="2" t="str">
        <f>_xlfn.XLOOKUP(orders!C4,customers!$A$1:$A$1001,customers!$B$1:$B$1001,,0)</f>
        <v>Jami Redholes</v>
      </c>
      <c r="G4" s="2" t="str">
        <f>IF(_xlfn.XLOOKUP(orders!C4,customers!$A$1:$A$1001,customers!$C$1:$C$1001,,0)=0,"",_xlfn.XLOOKUP(orders!C4,customers!$A$1:$A$1001,customers!$C$1:$C$1001,,0))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6">
        <f t="shared" si="0"/>
        <v>12.95</v>
      </c>
      <c r="N4" t="str">
        <f t="shared" si="1"/>
        <v>Arabica</v>
      </c>
      <c r="O4" t="str">
        <f t="shared" si="2"/>
        <v>Light</v>
      </c>
      <c r="P4" t="str">
        <f>_xlfn.XLOOKUP(Orders[[#This Row],[Customer ID]],customers!$A$1:$A$1001,customers!$I$1:$I$1001,,0)</f>
        <v>Yes</v>
      </c>
    </row>
    <row r="5" spans="1:16" x14ac:dyDescent="0.25">
      <c r="A5" s="2" t="s">
        <v>512</v>
      </c>
      <c r="B5" s="3">
        <v>44392</v>
      </c>
      <c r="C5" s="2" t="s">
        <v>513</v>
      </c>
      <c r="D5" t="s">
        <v>6141</v>
      </c>
      <c r="E5" s="2">
        <v>2</v>
      </c>
      <c r="F5" s="2" t="str">
        <f>_xlfn.XLOOKUP(orders!C5,customers!$A$1:$A$1001,customers!$B$1:$B$1001,,0)</f>
        <v>Christoffer O' Shea</v>
      </c>
      <c r="G5" s="2" t="str">
        <f>IF(_xlfn.XLOOKUP(orders!C5,customers!$A$1:$A$1001,customers!$C$1:$C$1001,,0)=0,"",_xlfn.XLOOKUP(orders!C5,customers!$A$1:$A$1001,customers!$C$1:$C$1001,,0))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6">
        <f t="shared" si="0"/>
        <v>27.5</v>
      </c>
      <c r="N5" t="str">
        <f t="shared" si="1"/>
        <v>Excelsa</v>
      </c>
      <c r="O5" t="str">
        <f t="shared" si="2"/>
        <v>Medium</v>
      </c>
      <c r="P5" t="str">
        <f>_xlfn.XLOOKUP(Orders[[#This Row],[Customer ID]],customers!$A$1:$A$1001,customers!$I$1:$I$1001,,0)</f>
        <v>No</v>
      </c>
    </row>
    <row r="6" spans="1:16" x14ac:dyDescent="0.25">
      <c r="A6" s="2" t="s">
        <v>512</v>
      </c>
      <c r="B6" s="3">
        <v>44392</v>
      </c>
      <c r="C6" s="2" t="s">
        <v>513</v>
      </c>
      <c r="D6" t="s">
        <v>6142</v>
      </c>
      <c r="E6" s="2">
        <v>2</v>
      </c>
      <c r="F6" s="2" t="str">
        <f>_xlfn.XLOOKUP(orders!C6,customers!$A$1:$A$1001,customers!$B$1:$B$1001,,0)</f>
        <v>Christoffer O' Shea</v>
      </c>
      <c r="G6" s="2" t="str">
        <f>IF(_xlfn.XLOOKUP(orders!C6,customers!$A$1:$A$1001,customers!$C$1:$C$1001,,0)=0,"",_xlfn.XLOOKUP(orders!C6,customers!$A$1:$A$1001,customers!$C$1:$C$1001,,0))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6">
        <f t="shared" si="0"/>
        <v>54.969999999999992</v>
      </c>
      <c r="N6" t="str">
        <f t="shared" si="1"/>
        <v>Robusta</v>
      </c>
      <c r="O6" t="str">
        <f t="shared" si="2"/>
        <v>Light</v>
      </c>
      <c r="P6" t="str">
        <f>_xlfn.XLOOKUP(Orders[[#This Row],[Customer ID]],customers!$A$1:$A$1001,customers!$I$1:$I$1001,,0)</f>
        <v>No</v>
      </c>
    </row>
    <row r="7" spans="1:16" x14ac:dyDescent="0.25">
      <c r="A7" s="2" t="s">
        <v>519</v>
      </c>
      <c r="B7" s="3">
        <v>44412</v>
      </c>
      <c r="C7" s="2" t="s">
        <v>520</v>
      </c>
      <c r="D7" t="s">
        <v>6143</v>
      </c>
      <c r="E7" s="2">
        <v>3</v>
      </c>
      <c r="F7" s="2" t="str">
        <f>_xlfn.XLOOKUP(orders!C7,customers!$A$1:$A$1001,customers!$B$1:$B$1001,,0)</f>
        <v>Beryle Cottier</v>
      </c>
      <c r="G7" s="2" t="str">
        <f>IF(_xlfn.XLOOKUP(orders!C7,customers!$A$1:$A$1001,customers!$C$1:$C$1001,,0)=0,"",_xlfn.XLOOKUP(orders!C7,customers!$A$1:$A$1001,customers!$C$1:$C$1001,,0))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6">
        <f t="shared" si="0"/>
        <v>38.849999999999994</v>
      </c>
      <c r="N7" t="str">
        <f t="shared" si="1"/>
        <v>Liberica</v>
      </c>
      <c r="O7" t="str">
        <f t="shared" si="2"/>
        <v>Dark</v>
      </c>
      <c r="P7" t="str">
        <f>_xlfn.XLOOKUP(Orders[[#This Row],[Customer ID]],customers!$A$1:$A$1001,customers!$I$1:$I$1001,,0)</f>
        <v>No</v>
      </c>
    </row>
    <row r="8" spans="1:16" x14ac:dyDescent="0.25">
      <c r="A8" s="2" t="s">
        <v>524</v>
      </c>
      <c r="B8" s="3">
        <v>44582</v>
      </c>
      <c r="C8" s="2" t="s">
        <v>525</v>
      </c>
      <c r="D8" t="s">
        <v>6144</v>
      </c>
      <c r="E8" s="2">
        <v>3</v>
      </c>
      <c r="F8" s="2" t="str">
        <f>_xlfn.XLOOKUP(orders!C8,customers!$A$1:$A$1001,customers!$B$1:$B$1001,,0)</f>
        <v>Shaylynn Lobe</v>
      </c>
      <c r="G8" s="2" t="str">
        <f>IF(_xlfn.XLOOKUP(orders!C8,customers!$A$1:$A$1001,customers!$C$1:$C$1001,,0)=0,"",_xlfn.XLOOKUP(orders!C8,customers!$A$1:$A$1001,customers!$C$1:$C$1001,,0))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6">
        <f t="shared" si="0"/>
        <v>21.87</v>
      </c>
      <c r="N8" t="str">
        <f t="shared" si="1"/>
        <v>Excelsa</v>
      </c>
      <c r="O8" t="str">
        <f t="shared" si="2"/>
        <v>Dark</v>
      </c>
      <c r="P8" t="str">
        <f>_xlfn.XLOOKUP(Orders[[#This Row],[Customer ID]],customers!$A$1:$A$1001,customers!$I$1:$I$1001,,0)</f>
        <v>Yes</v>
      </c>
    </row>
    <row r="9" spans="1:16" x14ac:dyDescent="0.25">
      <c r="A9" s="2" t="s">
        <v>530</v>
      </c>
      <c r="B9" s="3">
        <v>44701</v>
      </c>
      <c r="C9" s="2" t="s">
        <v>531</v>
      </c>
      <c r="D9" t="s">
        <v>6145</v>
      </c>
      <c r="E9" s="2">
        <v>1</v>
      </c>
      <c r="F9" s="2" t="str">
        <f>_xlfn.XLOOKUP(orders!C9,customers!$A$1:$A$1001,customers!$B$1:$B$1001,,0)</f>
        <v>Melvin Wharfe</v>
      </c>
      <c r="G9" s="2" t="str">
        <f>IF(_xlfn.XLOOKUP(orders!C9,customers!$A$1:$A$1001,customers!$C$1:$C$1001,,0)=0,"",_xlfn.XLOOKUP(orders!C9,customers!$A$1:$A$1001,customers!$C$1:$C$1001,,0))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6">
        <f t="shared" si="0"/>
        <v>4.7549999999999999</v>
      </c>
      <c r="N9" t="str">
        <f t="shared" si="1"/>
        <v>Liberica</v>
      </c>
      <c r="O9" t="str">
        <f t="shared" si="2"/>
        <v>Light</v>
      </c>
      <c r="P9" t="str">
        <f>_xlfn.XLOOKUP(Orders[[#This Row],[Customer ID]],customers!$A$1:$A$1001,customers!$I$1:$I$1001,,0)</f>
        <v>Yes</v>
      </c>
    </row>
    <row r="10" spans="1:16" x14ac:dyDescent="0.25">
      <c r="A10" s="2" t="s">
        <v>535</v>
      </c>
      <c r="B10" s="3">
        <v>43467</v>
      </c>
      <c r="C10" s="2" t="s">
        <v>536</v>
      </c>
      <c r="D10" t="s">
        <v>6146</v>
      </c>
      <c r="E10" s="2">
        <v>3</v>
      </c>
      <c r="F10" s="2" t="str">
        <f>_xlfn.XLOOKUP(orders!C10,customers!$A$1:$A$1001,customers!$B$1:$B$1001,,0)</f>
        <v>Guthrey Petracci</v>
      </c>
      <c r="G10" s="2" t="str">
        <f>IF(_xlfn.XLOOKUP(orders!C10,customers!$A$1:$A$1001,customers!$C$1:$C$1001,,0)=0,"",_xlfn.XLOOKUP(orders!C10,customers!$A$1:$A$1001,customers!$C$1:$C$1001,,0))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6">
        <f t="shared" si="0"/>
        <v>17.91</v>
      </c>
      <c r="N10" t="str">
        <f t="shared" si="1"/>
        <v>Robusta</v>
      </c>
      <c r="O10" t="str">
        <f t="shared" si="2"/>
        <v>Medium</v>
      </c>
      <c r="P10" t="str">
        <f>_xlfn.XLOOKUP(Orders[[#This Row],[Customer ID]],customers!$A$1:$A$1001,customers!$I$1:$I$1001,,0)</f>
        <v>No</v>
      </c>
    </row>
    <row r="11" spans="1:16" x14ac:dyDescent="0.25">
      <c r="A11" s="2" t="s">
        <v>541</v>
      </c>
      <c r="B11" s="3">
        <v>43713</v>
      </c>
      <c r="C11" s="2" t="s">
        <v>542</v>
      </c>
      <c r="D11" t="s">
        <v>6146</v>
      </c>
      <c r="E11" s="2">
        <v>1</v>
      </c>
      <c r="F11" s="2" t="str">
        <f>_xlfn.XLOOKUP(orders!C11,customers!$A$1:$A$1001,customers!$B$1:$B$1001,,0)</f>
        <v>Rodger Raven</v>
      </c>
      <c r="G11" s="2" t="str">
        <f>IF(_xlfn.XLOOKUP(orders!C11,customers!$A$1:$A$1001,customers!$C$1:$C$1001,,0)=0,"",_xlfn.XLOOKUP(orders!C11,customers!$A$1:$A$1001,customers!$C$1:$C$1001,,0))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6">
        <f t="shared" si="0"/>
        <v>5.97</v>
      </c>
      <c r="N11" t="str">
        <f t="shared" si="1"/>
        <v>Robusta</v>
      </c>
      <c r="O11" t="str">
        <f t="shared" si="2"/>
        <v>Medium</v>
      </c>
      <c r="P11" t="str">
        <f>_xlfn.XLOOKUP(Orders[[#This Row],[Customer ID]],customers!$A$1:$A$1001,customers!$I$1:$I$1001,,0)</f>
        <v>No</v>
      </c>
    </row>
    <row r="12" spans="1:16" x14ac:dyDescent="0.25">
      <c r="A12" s="2" t="s">
        <v>547</v>
      </c>
      <c r="B12" s="3">
        <v>44263</v>
      </c>
      <c r="C12" s="2" t="s">
        <v>548</v>
      </c>
      <c r="D12" t="s">
        <v>6147</v>
      </c>
      <c r="E12" s="2">
        <v>4</v>
      </c>
      <c r="F12" s="2" t="str">
        <f>_xlfn.XLOOKUP(orders!C12,customers!$A$1:$A$1001,customers!$B$1:$B$1001,,0)</f>
        <v>Ferrell Ferber</v>
      </c>
      <c r="G12" s="2" t="str">
        <f>IF(_xlfn.XLOOKUP(orders!C12,customers!$A$1:$A$1001,customers!$C$1:$C$1001,,0)=0,"",_xlfn.XLOOKUP(orders!C12,customers!$A$1:$A$1001,customers!$C$1:$C$1001,,0))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6">
        <f t="shared" si="0"/>
        <v>39.799999999999997</v>
      </c>
      <c r="N12" t="str">
        <f t="shared" si="1"/>
        <v>Arabica</v>
      </c>
      <c r="O12" t="str">
        <f t="shared" si="2"/>
        <v>Dark</v>
      </c>
      <c r="P12" t="str">
        <f>_xlfn.XLOOKUP(Orders[[#This Row],[Customer ID]],customers!$A$1:$A$1001,customers!$I$1:$I$1001,,0)</f>
        <v>No</v>
      </c>
    </row>
    <row r="13" spans="1:16" x14ac:dyDescent="0.25">
      <c r="A13" s="2" t="s">
        <v>553</v>
      </c>
      <c r="B13" s="3">
        <v>44132</v>
      </c>
      <c r="C13" s="2" t="s">
        <v>554</v>
      </c>
      <c r="D13" t="s">
        <v>6148</v>
      </c>
      <c r="E13" s="2">
        <v>5</v>
      </c>
      <c r="F13" s="2" t="str">
        <f>_xlfn.XLOOKUP(orders!C13,customers!$A$1:$A$1001,customers!$B$1:$B$1001,,0)</f>
        <v>Duky Phizackerly</v>
      </c>
      <c r="G13" s="2" t="str">
        <f>IF(_xlfn.XLOOKUP(orders!C13,customers!$A$1:$A$1001,customers!$C$1:$C$1001,,0)=0,"",_xlfn.XLOOKUP(orders!C13,customers!$A$1:$A$1001,customers!$C$1:$C$1001,,0))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6">
        <f t="shared" si="0"/>
        <v>170.77499999999998</v>
      </c>
      <c r="N13" t="str">
        <f t="shared" si="1"/>
        <v>Excelsa</v>
      </c>
      <c r="O13" t="str">
        <f t="shared" si="2"/>
        <v>Light</v>
      </c>
      <c r="P13" t="str">
        <f>_xlfn.XLOOKUP(Orders[[#This Row],[Customer ID]],customers!$A$1:$A$1001,customers!$I$1:$I$1001,,0)</f>
        <v>Yes</v>
      </c>
    </row>
    <row r="14" spans="1:16" x14ac:dyDescent="0.25">
      <c r="A14" s="2" t="s">
        <v>559</v>
      </c>
      <c r="B14" s="3">
        <v>44744</v>
      </c>
      <c r="C14" s="2" t="s">
        <v>560</v>
      </c>
      <c r="D14" t="s">
        <v>6138</v>
      </c>
      <c r="E14" s="2">
        <v>5</v>
      </c>
      <c r="F14" s="2" t="str">
        <f>_xlfn.XLOOKUP(orders!C14,customers!$A$1:$A$1001,customers!$B$1:$B$1001,,0)</f>
        <v>Rosaleen Scholar</v>
      </c>
      <c r="G14" s="2" t="str">
        <f>IF(_xlfn.XLOOKUP(orders!C14,customers!$A$1:$A$1001,customers!$C$1:$C$1001,,0)=0,"",_xlfn.XLOOKUP(orders!C14,customers!$A$1:$A$1001,customers!$C$1:$C$1001,,0))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6">
        <f t="shared" si="0"/>
        <v>49.75</v>
      </c>
      <c r="N14" t="str">
        <f t="shared" si="1"/>
        <v>Robusta</v>
      </c>
      <c r="O14" t="str">
        <f t="shared" si="2"/>
        <v>Medium</v>
      </c>
      <c r="P14" t="str">
        <f>_xlfn.XLOOKUP(Orders[[#This Row],[Customer ID]],customers!$A$1:$A$1001,customers!$I$1:$I$1001,,0)</f>
        <v>No</v>
      </c>
    </row>
    <row r="15" spans="1:16" x14ac:dyDescent="0.25">
      <c r="A15" s="2" t="s">
        <v>565</v>
      </c>
      <c r="B15" s="3">
        <v>43973</v>
      </c>
      <c r="C15" s="2" t="s">
        <v>566</v>
      </c>
      <c r="D15" t="s">
        <v>6149</v>
      </c>
      <c r="E15" s="2">
        <v>2</v>
      </c>
      <c r="F15" s="2" t="str">
        <f>_xlfn.XLOOKUP(orders!C15,customers!$A$1:$A$1001,customers!$B$1:$B$1001,,0)</f>
        <v>Terence Vanyutin</v>
      </c>
      <c r="G15" s="2" t="str">
        <f>IF(_xlfn.XLOOKUP(orders!C15,customers!$A$1:$A$1001,customers!$C$1:$C$1001,,0)=0,"",_xlfn.XLOOKUP(orders!C15,customers!$A$1:$A$1001,customers!$C$1:$C$1001,,0))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6">
        <f t="shared" si="0"/>
        <v>41.169999999999995</v>
      </c>
      <c r="N15" t="str">
        <f t="shared" si="1"/>
        <v>Robusta</v>
      </c>
      <c r="O15" t="str">
        <f t="shared" si="2"/>
        <v>Dark</v>
      </c>
      <c r="P15" t="str">
        <f>_xlfn.XLOOKUP(Orders[[#This Row],[Customer ID]],customers!$A$1:$A$1001,customers!$I$1:$I$1001,,0)</f>
        <v>No</v>
      </c>
    </row>
    <row r="16" spans="1:16" x14ac:dyDescent="0.25">
      <c r="A16" s="2" t="s">
        <v>570</v>
      </c>
      <c r="B16" s="3">
        <v>44656</v>
      </c>
      <c r="C16" s="2" t="s">
        <v>571</v>
      </c>
      <c r="D16" t="s">
        <v>6150</v>
      </c>
      <c r="E16" s="2">
        <v>3</v>
      </c>
      <c r="F16" s="2" t="str">
        <f>_xlfn.XLOOKUP(orders!C16,customers!$A$1:$A$1001,customers!$B$1:$B$1001,,0)</f>
        <v>Patrice Trobe</v>
      </c>
      <c r="G16" s="2" t="str">
        <f>IF(_xlfn.XLOOKUP(orders!C16,customers!$A$1:$A$1001,customers!$C$1:$C$1001,,0)=0,"",_xlfn.XLOOKUP(orders!C16,customers!$A$1:$A$1001,customers!$C$1:$C$1001,,0))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6">
        <f t="shared" si="0"/>
        <v>11.654999999999999</v>
      </c>
      <c r="N16" t="str">
        <f t="shared" si="1"/>
        <v>Liberica</v>
      </c>
      <c r="O16" t="str">
        <f t="shared" si="2"/>
        <v>Dark</v>
      </c>
      <c r="P16" t="str">
        <f>_xlfn.XLOOKUP(Orders[[#This Row],[Customer ID]],customers!$A$1:$A$1001,customers!$I$1:$I$1001,,0)</f>
        <v>Yes</v>
      </c>
    </row>
    <row r="17" spans="1:16" x14ac:dyDescent="0.25">
      <c r="A17" s="2" t="s">
        <v>576</v>
      </c>
      <c r="B17" s="3">
        <v>44719</v>
      </c>
      <c r="C17" s="2" t="s">
        <v>577</v>
      </c>
      <c r="D17" t="s">
        <v>6151</v>
      </c>
      <c r="E17" s="2">
        <v>5</v>
      </c>
      <c r="F17" s="2" t="str">
        <f>_xlfn.XLOOKUP(orders!C17,customers!$A$1:$A$1001,customers!$B$1:$B$1001,,0)</f>
        <v>Llywellyn Oscroft</v>
      </c>
      <c r="G17" s="2" t="str">
        <f>IF(_xlfn.XLOOKUP(orders!C17,customers!$A$1:$A$1001,customers!$C$1:$C$1001,,0)=0,"",_xlfn.XLOOKUP(orders!C17,customers!$A$1:$A$1001,customers!$C$1:$C$1001,,0))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6">
        <f t="shared" si="0"/>
        <v>114.42499999999998</v>
      </c>
      <c r="N17" t="str">
        <f t="shared" si="1"/>
        <v>Robusta</v>
      </c>
      <c r="O17" t="str">
        <f t="shared" si="2"/>
        <v>Medium</v>
      </c>
      <c r="P17" t="str">
        <f>_xlfn.XLOOKUP(Orders[[#This Row],[Customer ID]],customers!$A$1:$A$1001,customers!$I$1:$I$1001,,0)</f>
        <v>No</v>
      </c>
    </row>
    <row r="18" spans="1:16" x14ac:dyDescent="0.25">
      <c r="A18" s="2" t="s">
        <v>581</v>
      </c>
      <c r="B18" s="3">
        <v>43544</v>
      </c>
      <c r="C18" s="2" t="s">
        <v>582</v>
      </c>
      <c r="D18" t="s">
        <v>6152</v>
      </c>
      <c r="E18" s="2">
        <v>6</v>
      </c>
      <c r="F18" s="2" t="str">
        <f>_xlfn.XLOOKUP(orders!C18,customers!$A$1:$A$1001,customers!$B$1:$B$1001,,0)</f>
        <v>Minni Alabaster</v>
      </c>
      <c r="G18" s="2" t="str">
        <f>IF(_xlfn.XLOOKUP(orders!C18,customers!$A$1:$A$1001,customers!$C$1:$C$1001,,0)=0,"",_xlfn.XLOOKUP(orders!C18,customers!$A$1:$A$1001,customers!$C$1:$C$1001,,0))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6">
        <f t="shared" si="0"/>
        <v>20.25</v>
      </c>
      <c r="N18" t="str">
        <f t="shared" si="1"/>
        <v>Arabica</v>
      </c>
      <c r="O18" t="str">
        <f t="shared" si="2"/>
        <v>Medium</v>
      </c>
      <c r="P18" t="str">
        <f>_xlfn.XLOOKUP(Orders[[#This Row],[Customer ID]],customers!$A$1:$A$1001,customers!$I$1:$I$1001,,0)</f>
        <v>No</v>
      </c>
    </row>
    <row r="19" spans="1:16" x14ac:dyDescent="0.25">
      <c r="A19" s="2" t="s">
        <v>587</v>
      </c>
      <c r="B19" s="3">
        <v>43757</v>
      </c>
      <c r="C19" s="2" t="s">
        <v>588</v>
      </c>
      <c r="D19" t="s">
        <v>6140</v>
      </c>
      <c r="E19" s="2">
        <v>6</v>
      </c>
      <c r="F19" s="2" t="str">
        <f>_xlfn.XLOOKUP(orders!C19,customers!$A$1:$A$1001,customers!$B$1:$B$1001,,0)</f>
        <v>Rhianon Broxup</v>
      </c>
      <c r="G19" s="2" t="str">
        <f>IF(_xlfn.XLOOKUP(orders!C19,customers!$A$1:$A$1001,customers!$C$1:$C$1001,,0)=0,"",_xlfn.XLOOKUP(orders!C19,customers!$A$1:$A$1001,customers!$C$1:$C$1001,,0))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6">
        <f t="shared" si="0"/>
        <v>77.699999999999989</v>
      </c>
      <c r="N19" t="str">
        <f t="shared" si="1"/>
        <v>Arabica</v>
      </c>
      <c r="O19" t="str">
        <f t="shared" si="2"/>
        <v>Light</v>
      </c>
      <c r="P19" t="str">
        <f>_xlfn.XLOOKUP(Orders[[#This Row],[Customer ID]],customers!$A$1:$A$1001,customers!$I$1:$I$1001,,0)</f>
        <v>No</v>
      </c>
    </row>
    <row r="20" spans="1:16" x14ac:dyDescent="0.25">
      <c r="A20" s="2" t="s">
        <v>593</v>
      </c>
      <c r="B20" s="3">
        <v>43629</v>
      </c>
      <c r="C20" s="2" t="s">
        <v>594</v>
      </c>
      <c r="D20" t="s">
        <v>6149</v>
      </c>
      <c r="E20" s="2">
        <v>4</v>
      </c>
      <c r="F20" s="2" t="str">
        <f>_xlfn.XLOOKUP(orders!C20,customers!$A$1:$A$1001,customers!$B$1:$B$1001,,0)</f>
        <v>Pall Redford</v>
      </c>
      <c r="G20" s="2" t="str">
        <f>IF(_xlfn.XLOOKUP(orders!C20,customers!$A$1:$A$1001,customers!$C$1:$C$1001,,0)=0,"",_xlfn.XLOOKUP(orders!C20,customers!$A$1:$A$1001,customers!$C$1:$C$1001,,0))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6">
        <f t="shared" si="0"/>
        <v>82.339999999999989</v>
      </c>
      <c r="N20" t="str">
        <f t="shared" si="1"/>
        <v>Robusta</v>
      </c>
      <c r="O20" t="str">
        <f t="shared" si="2"/>
        <v>Dark</v>
      </c>
      <c r="P20" t="str">
        <f>_xlfn.XLOOKUP(Orders[[#This Row],[Customer ID]],customers!$A$1:$A$1001,customers!$I$1:$I$1001,,0)</f>
        <v>Yes</v>
      </c>
    </row>
    <row r="21" spans="1:16" x14ac:dyDescent="0.25">
      <c r="A21" s="2" t="s">
        <v>598</v>
      </c>
      <c r="B21" s="3">
        <v>44169</v>
      </c>
      <c r="C21" s="2" t="s">
        <v>599</v>
      </c>
      <c r="D21" t="s">
        <v>6152</v>
      </c>
      <c r="E21" s="2">
        <v>5</v>
      </c>
      <c r="F21" s="2" t="str">
        <f>_xlfn.XLOOKUP(orders!C21,customers!$A$1:$A$1001,customers!$B$1:$B$1001,,0)</f>
        <v>Aurea Corradino</v>
      </c>
      <c r="G21" s="2" t="str">
        <f>IF(_xlfn.XLOOKUP(orders!C21,customers!$A$1:$A$1001,customers!$C$1:$C$1001,,0)=0,"",_xlfn.XLOOKUP(orders!C21,customers!$A$1:$A$1001,customers!$C$1:$C$1001,,0))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6">
        <f t="shared" si="0"/>
        <v>16.875</v>
      </c>
      <c r="N21" t="str">
        <f t="shared" si="1"/>
        <v>Arabica</v>
      </c>
      <c r="O21" t="str">
        <f t="shared" si="2"/>
        <v>Medium</v>
      </c>
      <c r="P21" t="str">
        <f>_xlfn.XLOOKUP(Orders[[#This Row],[Customer ID]],customers!$A$1:$A$1001,customers!$I$1:$I$1001,,0)</f>
        <v>Yes</v>
      </c>
    </row>
    <row r="22" spans="1:16" x14ac:dyDescent="0.25">
      <c r="A22" s="2" t="s">
        <v>598</v>
      </c>
      <c r="B22" s="3">
        <v>44169</v>
      </c>
      <c r="C22" s="2" t="s">
        <v>599</v>
      </c>
      <c r="D22" t="s">
        <v>6153</v>
      </c>
      <c r="E22" s="2">
        <v>4</v>
      </c>
      <c r="F22" s="2" t="str">
        <f>_xlfn.XLOOKUP(orders!C22,customers!$A$1:$A$1001,customers!$B$1:$B$1001,,0)</f>
        <v>Aurea Corradino</v>
      </c>
      <c r="G22" s="2" t="str">
        <f>IF(_xlfn.XLOOKUP(orders!C22,customers!$A$1:$A$1001,customers!$C$1:$C$1001,,0)=0,"",_xlfn.XLOOKUP(orders!C22,customers!$A$1:$A$1001,customers!$C$1:$C$1001,,0))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6">
        <f t="shared" si="0"/>
        <v>14.58</v>
      </c>
      <c r="N22" t="str">
        <f t="shared" si="1"/>
        <v>Excelsa</v>
      </c>
      <c r="O22" t="str">
        <f t="shared" si="2"/>
        <v>Dark</v>
      </c>
      <c r="P22" t="str">
        <f>_xlfn.XLOOKUP(Orders[[#This Row],[Customer ID]],customers!$A$1:$A$1001,customers!$I$1:$I$1001,,0)</f>
        <v>Yes</v>
      </c>
    </row>
    <row r="23" spans="1:16" x14ac:dyDescent="0.25">
      <c r="A23" s="2" t="s">
        <v>608</v>
      </c>
      <c r="B23" s="3">
        <v>44169</v>
      </c>
      <c r="C23" s="2" t="s">
        <v>609</v>
      </c>
      <c r="D23" t="s">
        <v>6154</v>
      </c>
      <c r="E23" s="2">
        <v>6</v>
      </c>
      <c r="F23" s="2" t="str">
        <f>_xlfn.XLOOKUP(orders!C23,customers!$A$1:$A$1001,customers!$B$1:$B$1001,,0)</f>
        <v>Avrit Davidowsky</v>
      </c>
      <c r="G23" s="2" t="str">
        <f>IF(_xlfn.XLOOKUP(orders!C23,customers!$A$1:$A$1001,customers!$C$1:$C$1001,,0)=0,"",_xlfn.XLOOKUP(orders!C23,customers!$A$1:$A$1001,customers!$C$1:$C$1001,,0))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6">
        <f t="shared" si="0"/>
        <v>17.91</v>
      </c>
      <c r="N23" t="str">
        <f t="shared" si="1"/>
        <v>Arabica</v>
      </c>
      <c r="O23" t="str">
        <f t="shared" si="2"/>
        <v>Dark</v>
      </c>
      <c r="P23" t="str">
        <f>_xlfn.XLOOKUP(Orders[[#This Row],[Customer ID]],customers!$A$1:$A$1001,customers!$I$1:$I$1001,,0)</f>
        <v>No</v>
      </c>
    </row>
    <row r="24" spans="1:16" x14ac:dyDescent="0.25">
      <c r="A24" s="2" t="s">
        <v>614</v>
      </c>
      <c r="B24" s="3">
        <v>44218</v>
      </c>
      <c r="C24" s="2" t="s">
        <v>615</v>
      </c>
      <c r="D24" t="s">
        <v>6151</v>
      </c>
      <c r="E24" s="2">
        <v>4</v>
      </c>
      <c r="F24" s="2" t="str">
        <f>_xlfn.XLOOKUP(orders!C24,customers!$A$1:$A$1001,customers!$B$1:$B$1001,,0)</f>
        <v>Annabel Antuk</v>
      </c>
      <c r="G24" s="2" t="str">
        <f>IF(_xlfn.XLOOKUP(orders!C24,customers!$A$1:$A$1001,customers!$C$1:$C$1001,,0)=0,"",_xlfn.XLOOKUP(orders!C24,customers!$A$1:$A$1001,customers!$C$1:$C$1001,,0))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6">
        <f t="shared" si="0"/>
        <v>91.539999999999992</v>
      </c>
      <c r="N24" t="str">
        <f t="shared" si="1"/>
        <v>Robusta</v>
      </c>
      <c r="O24" t="str">
        <f t="shared" si="2"/>
        <v>Medium</v>
      </c>
      <c r="P24" t="str">
        <f>_xlfn.XLOOKUP(Orders[[#This Row],[Customer ID]],customers!$A$1:$A$1001,customers!$I$1:$I$1001,,0)</f>
        <v>Yes</v>
      </c>
    </row>
    <row r="25" spans="1:16" x14ac:dyDescent="0.25">
      <c r="A25" s="2" t="s">
        <v>620</v>
      </c>
      <c r="B25" s="3">
        <v>44603</v>
      </c>
      <c r="C25" s="2" t="s">
        <v>621</v>
      </c>
      <c r="D25" t="s">
        <v>6154</v>
      </c>
      <c r="E25" s="2">
        <v>4</v>
      </c>
      <c r="F25" s="2" t="str">
        <f>_xlfn.XLOOKUP(orders!C25,customers!$A$1:$A$1001,customers!$B$1:$B$1001,,0)</f>
        <v>Iorgo Kleinert</v>
      </c>
      <c r="G25" s="2" t="str">
        <f>IF(_xlfn.XLOOKUP(orders!C25,customers!$A$1:$A$1001,customers!$C$1:$C$1001,,0)=0,"",_xlfn.XLOOKUP(orders!C25,customers!$A$1:$A$1001,customers!$C$1:$C$1001,,0))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6">
        <f t="shared" si="0"/>
        <v>11.94</v>
      </c>
      <c r="N25" t="str">
        <f t="shared" si="1"/>
        <v>Arabica</v>
      </c>
      <c r="O25" t="str">
        <f t="shared" si="2"/>
        <v>Dark</v>
      </c>
      <c r="P25" t="str">
        <f>_xlfn.XLOOKUP(Orders[[#This Row],[Customer ID]],customers!$A$1:$A$1001,customers!$I$1:$I$1001,,0)</f>
        <v>Yes</v>
      </c>
    </row>
    <row r="26" spans="1:16" x14ac:dyDescent="0.25">
      <c r="A26" s="2" t="s">
        <v>626</v>
      </c>
      <c r="B26" s="3">
        <v>44454</v>
      </c>
      <c r="C26" s="2" t="s">
        <v>627</v>
      </c>
      <c r="D26" t="s">
        <v>6155</v>
      </c>
      <c r="E26" s="2">
        <v>1</v>
      </c>
      <c r="F26" s="2" t="str">
        <f>_xlfn.XLOOKUP(orders!C26,customers!$A$1:$A$1001,customers!$B$1:$B$1001,,0)</f>
        <v>Chrisy Blofeld</v>
      </c>
      <c r="G26" s="2" t="str">
        <f>IF(_xlfn.XLOOKUP(orders!C26,customers!$A$1:$A$1001,customers!$C$1:$C$1001,,0)=0,"",_xlfn.XLOOKUP(orders!C26,customers!$A$1:$A$1001,customers!$C$1:$C$1001,,0))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6">
        <f t="shared" si="0"/>
        <v>11.25</v>
      </c>
      <c r="N26" t="str">
        <f t="shared" si="1"/>
        <v>Arabica</v>
      </c>
      <c r="O26" t="str">
        <f t="shared" si="2"/>
        <v>Medium</v>
      </c>
      <c r="P26" t="str">
        <f>_xlfn.XLOOKUP(Orders[[#This Row],[Customer ID]],customers!$A$1:$A$1001,customers!$I$1:$I$1001,,0)</f>
        <v>No</v>
      </c>
    </row>
    <row r="27" spans="1:16" x14ac:dyDescent="0.25">
      <c r="A27" s="2" t="s">
        <v>632</v>
      </c>
      <c r="B27" s="3">
        <v>44128</v>
      </c>
      <c r="C27" s="2" t="s">
        <v>633</v>
      </c>
      <c r="D27" t="s">
        <v>6156</v>
      </c>
      <c r="E27" s="2">
        <v>3</v>
      </c>
      <c r="F27" s="2" t="str">
        <f>_xlfn.XLOOKUP(orders!C27,customers!$A$1:$A$1001,customers!$B$1:$B$1001,,0)</f>
        <v>Culley Farris</v>
      </c>
      <c r="G27" s="2" t="str">
        <f>IF(_xlfn.XLOOKUP(orders!C27,customers!$A$1:$A$1001,customers!$C$1:$C$1001,,0)=0,"",_xlfn.XLOOKUP(orders!C27,customers!$A$1:$A$1001,customers!$C$1:$C$1001,,0))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6">
        <f t="shared" si="0"/>
        <v>12.375</v>
      </c>
      <c r="N27" t="str">
        <f t="shared" si="1"/>
        <v>Excelsa</v>
      </c>
      <c r="O27" t="str">
        <f t="shared" si="2"/>
        <v>Medium</v>
      </c>
      <c r="P27" t="str">
        <f>_xlfn.XLOOKUP(Orders[[#This Row],[Customer ID]],customers!$A$1:$A$1001,customers!$I$1:$I$1001,,0)</f>
        <v>Yes</v>
      </c>
    </row>
    <row r="28" spans="1:16" x14ac:dyDescent="0.25">
      <c r="A28" s="2" t="s">
        <v>637</v>
      </c>
      <c r="B28" s="3">
        <v>43516</v>
      </c>
      <c r="C28" s="2" t="s">
        <v>638</v>
      </c>
      <c r="D28" t="s">
        <v>6157</v>
      </c>
      <c r="E28" s="2">
        <v>4</v>
      </c>
      <c r="F28" s="2" t="str">
        <f>_xlfn.XLOOKUP(orders!C28,customers!$A$1:$A$1001,customers!$B$1:$B$1001,,0)</f>
        <v>Selene Shales</v>
      </c>
      <c r="G28" s="2" t="str">
        <f>IF(_xlfn.XLOOKUP(orders!C28,customers!$A$1:$A$1001,customers!$C$1:$C$1001,,0)=0,"",_xlfn.XLOOKUP(orders!C28,customers!$A$1:$A$1001,customers!$C$1:$C$1001,,0))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6">
        <f t="shared" si="0"/>
        <v>27</v>
      </c>
      <c r="N28" t="str">
        <f t="shared" si="1"/>
        <v>Arabica</v>
      </c>
      <c r="O28" t="str">
        <f t="shared" si="2"/>
        <v>Medium</v>
      </c>
      <c r="P28" t="str">
        <f>_xlfn.XLOOKUP(Orders[[#This Row],[Customer ID]],customers!$A$1:$A$1001,customers!$I$1:$I$1001,,0)</f>
        <v>Yes</v>
      </c>
    </row>
    <row r="29" spans="1:16" x14ac:dyDescent="0.25">
      <c r="A29" s="2" t="s">
        <v>643</v>
      </c>
      <c r="B29" s="3">
        <v>43746</v>
      </c>
      <c r="C29" s="2" t="s">
        <v>644</v>
      </c>
      <c r="D29" t="s">
        <v>6152</v>
      </c>
      <c r="E29" s="2">
        <v>5</v>
      </c>
      <c r="F29" s="2" t="str">
        <f>_xlfn.XLOOKUP(orders!C29,customers!$A$1:$A$1001,customers!$B$1:$B$1001,,0)</f>
        <v>Vivie Danneil</v>
      </c>
      <c r="G29" s="2" t="str">
        <f>IF(_xlfn.XLOOKUP(orders!C29,customers!$A$1:$A$1001,customers!$C$1:$C$1001,,0)=0,"",_xlfn.XLOOKUP(orders!C29,customers!$A$1:$A$1001,customers!$C$1:$C$1001,,0))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6">
        <f t="shared" si="0"/>
        <v>16.875</v>
      </c>
      <c r="N29" t="str">
        <f t="shared" si="1"/>
        <v>Arabica</v>
      </c>
      <c r="O29" t="str">
        <f t="shared" si="2"/>
        <v>Medium</v>
      </c>
      <c r="P29" t="str">
        <f>_xlfn.XLOOKUP(Orders[[#This Row],[Customer ID]],customers!$A$1:$A$1001,customers!$I$1:$I$1001,,0)</f>
        <v>No</v>
      </c>
    </row>
    <row r="30" spans="1:16" x14ac:dyDescent="0.25">
      <c r="A30" s="2" t="s">
        <v>649</v>
      </c>
      <c r="B30" s="3">
        <v>44775</v>
      </c>
      <c r="C30" s="2" t="s">
        <v>650</v>
      </c>
      <c r="D30" t="s">
        <v>6158</v>
      </c>
      <c r="E30" s="2">
        <v>3</v>
      </c>
      <c r="F30" s="2" t="str">
        <f>_xlfn.XLOOKUP(orders!C30,customers!$A$1:$A$1001,customers!$B$1:$B$1001,,0)</f>
        <v>Theresita Newbury</v>
      </c>
      <c r="G30" s="2" t="str">
        <f>IF(_xlfn.XLOOKUP(orders!C30,customers!$A$1:$A$1001,customers!$C$1:$C$1001,,0)=0,"",_xlfn.XLOOKUP(orders!C30,customers!$A$1:$A$1001,customers!$C$1:$C$1001,,0))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6">
        <f t="shared" si="0"/>
        <v>17.91</v>
      </c>
      <c r="N30" t="str">
        <f t="shared" si="1"/>
        <v>Arabica</v>
      </c>
      <c r="O30" t="str">
        <f t="shared" si="2"/>
        <v>Dark</v>
      </c>
      <c r="P30" t="str">
        <f>_xlfn.XLOOKUP(Orders[[#This Row],[Customer ID]],customers!$A$1:$A$1001,customers!$I$1:$I$1001,,0)</f>
        <v>No</v>
      </c>
    </row>
    <row r="31" spans="1:16" x14ac:dyDescent="0.25">
      <c r="A31" s="2" t="s">
        <v>655</v>
      </c>
      <c r="B31" s="3">
        <v>43516</v>
      </c>
      <c r="C31" s="2" t="s">
        <v>656</v>
      </c>
      <c r="D31" t="s">
        <v>6147</v>
      </c>
      <c r="E31" s="2">
        <v>4</v>
      </c>
      <c r="F31" s="2" t="str">
        <f>_xlfn.XLOOKUP(orders!C31,customers!$A$1:$A$1001,customers!$B$1:$B$1001,,0)</f>
        <v>Mozelle Calcutt</v>
      </c>
      <c r="G31" s="2" t="str">
        <f>IF(_xlfn.XLOOKUP(orders!C31,customers!$A$1:$A$1001,customers!$C$1:$C$1001,,0)=0,"",_xlfn.XLOOKUP(orders!C31,customers!$A$1:$A$1001,customers!$C$1:$C$1001,,0))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6">
        <f t="shared" si="0"/>
        <v>39.799999999999997</v>
      </c>
      <c r="N31" t="str">
        <f t="shared" si="1"/>
        <v>Arabica</v>
      </c>
      <c r="O31" t="str">
        <f t="shared" si="2"/>
        <v>Dark</v>
      </c>
      <c r="P31" t="str">
        <f>_xlfn.XLOOKUP(Orders[[#This Row],[Customer ID]],customers!$A$1:$A$1001,customers!$I$1:$I$1001,,0)</f>
        <v>Yes</v>
      </c>
    </row>
    <row r="32" spans="1:16" x14ac:dyDescent="0.25">
      <c r="A32" s="2" t="s">
        <v>661</v>
      </c>
      <c r="B32" s="3">
        <v>44464</v>
      </c>
      <c r="C32" s="2" t="s">
        <v>662</v>
      </c>
      <c r="D32" t="s">
        <v>6159</v>
      </c>
      <c r="E32" s="2">
        <v>5</v>
      </c>
      <c r="F32" s="2" t="str">
        <f>_xlfn.XLOOKUP(orders!C32,customers!$A$1:$A$1001,customers!$B$1:$B$1001,,0)</f>
        <v>Adrian Swaine</v>
      </c>
      <c r="G32" s="2" t="str">
        <f>IF(_xlfn.XLOOKUP(orders!C32,customers!$A$1:$A$1001,customers!$C$1:$C$1001,,0)=0,"",_xlfn.XLOOKUP(orders!C32,customers!$A$1:$A$1001,customers!$C$1:$C$1001,,0))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6">
        <f t="shared" si="0"/>
        <v>21.825000000000003</v>
      </c>
      <c r="N32" t="str">
        <f t="shared" si="1"/>
        <v>Liberica</v>
      </c>
      <c r="O32" t="str">
        <f t="shared" si="2"/>
        <v>Medium</v>
      </c>
      <c r="P32" t="str">
        <f>_xlfn.XLOOKUP(Orders[[#This Row],[Customer ID]],customers!$A$1:$A$1001,customers!$I$1:$I$1001,,0)</f>
        <v>No</v>
      </c>
    </row>
    <row r="33" spans="1:16" x14ac:dyDescent="0.25">
      <c r="A33" s="2" t="s">
        <v>661</v>
      </c>
      <c r="B33" s="3">
        <v>44464</v>
      </c>
      <c r="C33" s="2" t="s">
        <v>662</v>
      </c>
      <c r="D33" t="s">
        <v>6158</v>
      </c>
      <c r="E33" s="2">
        <v>6</v>
      </c>
      <c r="F33" s="2" t="str">
        <f>_xlfn.XLOOKUP(orders!C33,customers!$A$1:$A$1001,customers!$B$1:$B$1001,,0)</f>
        <v>Adrian Swaine</v>
      </c>
      <c r="G33" s="2" t="str">
        <f>IF(_xlfn.XLOOKUP(orders!C33,customers!$A$1:$A$1001,customers!$C$1:$C$1001,,0)=0,"",_xlfn.XLOOKUP(orders!C33,customers!$A$1:$A$1001,customers!$C$1:$C$1001,,0))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6">
        <f t="shared" si="0"/>
        <v>35.82</v>
      </c>
      <c r="N33" t="str">
        <f t="shared" si="1"/>
        <v>Arabica</v>
      </c>
      <c r="O33" t="str">
        <f t="shared" si="2"/>
        <v>Dark</v>
      </c>
      <c r="P33" t="str">
        <f>_xlfn.XLOOKUP(Orders[[#This Row],[Customer ID]],customers!$A$1:$A$1001,customers!$I$1:$I$1001,,0)</f>
        <v>No</v>
      </c>
    </row>
    <row r="34" spans="1:16" x14ac:dyDescent="0.25">
      <c r="A34" s="2" t="s">
        <v>661</v>
      </c>
      <c r="B34" s="3">
        <v>44464</v>
      </c>
      <c r="C34" s="2" t="s">
        <v>662</v>
      </c>
      <c r="D34" t="s">
        <v>6160</v>
      </c>
      <c r="E34" s="2">
        <v>6</v>
      </c>
      <c r="F34" s="2" t="str">
        <f>_xlfn.XLOOKUP(orders!C34,customers!$A$1:$A$1001,customers!$B$1:$B$1001,,0)</f>
        <v>Adrian Swaine</v>
      </c>
      <c r="G34" s="2" t="str">
        <f>IF(_xlfn.XLOOKUP(orders!C34,customers!$A$1:$A$1001,customers!$C$1:$C$1001,,0)=0,"",_xlfn.XLOOKUP(orders!C34,customers!$A$1:$A$1001,customers!$C$1:$C$1001,,0))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6">
        <f t="shared" si="0"/>
        <v>52.38</v>
      </c>
      <c r="N34" t="str">
        <f t="shared" si="1"/>
        <v>Liberica</v>
      </c>
      <c r="O34" t="str">
        <f t="shared" si="2"/>
        <v>Medium</v>
      </c>
      <c r="P34" t="str">
        <f>_xlfn.XLOOKUP(Orders[[#This Row],[Customer ID]],customers!$A$1:$A$1001,customers!$I$1:$I$1001,,0)</f>
        <v>No</v>
      </c>
    </row>
    <row r="35" spans="1:16" x14ac:dyDescent="0.25">
      <c r="A35" s="2" t="s">
        <v>676</v>
      </c>
      <c r="B35" s="3">
        <v>44394</v>
      </c>
      <c r="C35" s="2" t="s">
        <v>677</v>
      </c>
      <c r="D35" t="s">
        <v>6145</v>
      </c>
      <c r="E35" s="2">
        <v>5</v>
      </c>
      <c r="F35" s="2" t="str">
        <f>_xlfn.XLOOKUP(orders!C35,customers!$A$1:$A$1001,customers!$B$1:$B$1001,,0)</f>
        <v>Gallard Gatheral</v>
      </c>
      <c r="G35" s="2" t="str">
        <f>IF(_xlfn.XLOOKUP(orders!C35,customers!$A$1:$A$1001,customers!$C$1:$C$1001,,0)=0,"",_xlfn.XLOOKUP(orders!C35,customers!$A$1:$A$1001,customers!$C$1:$C$1001,,0))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6">
        <f t="shared" si="0"/>
        <v>23.774999999999999</v>
      </c>
      <c r="N35" t="str">
        <f t="shared" si="1"/>
        <v>Liberica</v>
      </c>
      <c r="O35" t="str">
        <f t="shared" si="2"/>
        <v>Light</v>
      </c>
      <c r="P35" t="str">
        <f>_xlfn.XLOOKUP(Orders[[#This Row],[Customer ID]],customers!$A$1:$A$1001,customers!$I$1:$I$1001,,0)</f>
        <v>No</v>
      </c>
    </row>
    <row r="36" spans="1:16" x14ac:dyDescent="0.25">
      <c r="A36" s="2" t="s">
        <v>681</v>
      </c>
      <c r="B36" s="3">
        <v>44011</v>
      </c>
      <c r="C36" s="2" t="s">
        <v>682</v>
      </c>
      <c r="D36" t="s">
        <v>6161</v>
      </c>
      <c r="E36" s="2">
        <v>6</v>
      </c>
      <c r="F36" s="2" t="str">
        <f>_xlfn.XLOOKUP(orders!C36,customers!$A$1:$A$1001,customers!$B$1:$B$1001,,0)</f>
        <v>Una Welberry</v>
      </c>
      <c r="G36" s="2" t="str">
        <f>IF(_xlfn.XLOOKUP(orders!C36,customers!$A$1:$A$1001,customers!$C$1:$C$1001,,0)=0,"",_xlfn.XLOOKUP(orders!C36,customers!$A$1:$A$1001,customers!$C$1:$C$1001,,0))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6">
        <f t="shared" si="0"/>
        <v>57.06</v>
      </c>
      <c r="N36" t="str">
        <f t="shared" si="1"/>
        <v>Liberica</v>
      </c>
      <c r="O36" t="str">
        <f t="shared" si="2"/>
        <v>Light</v>
      </c>
      <c r="P36" t="str">
        <f>_xlfn.XLOOKUP(Orders[[#This Row],[Customer ID]],customers!$A$1:$A$1001,customers!$I$1:$I$1001,,0)</f>
        <v>Yes</v>
      </c>
    </row>
    <row r="37" spans="1:16" x14ac:dyDescent="0.25">
      <c r="A37" s="2" t="s">
        <v>687</v>
      </c>
      <c r="B37" s="3">
        <v>44348</v>
      </c>
      <c r="C37" s="2" t="s">
        <v>688</v>
      </c>
      <c r="D37" t="s">
        <v>6158</v>
      </c>
      <c r="E37" s="2">
        <v>6</v>
      </c>
      <c r="F37" s="2" t="str">
        <f>_xlfn.XLOOKUP(orders!C37,customers!$A$1:$A$1001,customers!$B$1:$B$1001,,0)</f>
        <v>Faber Eilhart</v>
      </c>
      <c r="G37" s="2" t="str">
        <f>IF(_xlfn.XLOOKUP(orders!C37,customers!$A$1:$A$1001,customers!$C$1:$C$1001,,0)=0,"",_xlfn.XLOOKUP(orders!C37,customers!$A$1:$A$1001,customers!$C$1:$C$1001,,0))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6">
        <f t="shared" si="0"/>
        <v>35.82</v>
      </c>
      <c r="N37" t="str">
        <f t="shared" si="1"/>
        <v>Arabica</v>
      </c>
      <c r="O37" t="str">
        <f t="shared" si="2"/>
        <v>Dark</v>
      </c>
      <c r="P37" t="str">
        <f>_xlfn.XLOOKUP(Orders[[#This Row],[Customer ID]],customers!$A$1:$A$1001,customers!$I$1:$I$1001,,0)</f>
        <v>No</v>
      </c>
    </row>
    <row r="38" spans="1:16" x14ac:dyDescent="0.25">
      <c r="A38" s="2" t="s">
        <v>693</v>
      </c>
      <c r="B38" s="3">
        <v>44233</v>
      </c>
      <c r="C38" s="2" t="s">
        <v>694</v>
      </c>
      <c r="D38" t="s">
        <v>6159</v>
      </c>
      <c r="E38" s="2">
        <v>2</v>
      </c>
      <c r="F38" s="2" t="str">
        <f>_xlfn.XLOOKUP(orders!C38,customers!$A$1:$A$1001,customers!$B$1:$B$1001,,0)</f>
        <v>Zorina Ponting</v>
      </c>
      <c r="G38" s="2" t="str">
        <f>IF(_xlfn.XLOOKUP(orders!C38,customers!$A$1:$A$1001,customers!$C$1:$C$1001,,0)=0,"",_xlfn.XLOOKUP(orders!C38,customers!$A$1:$A$1001,customers!$C$1:$C$1001,,0))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6">
        <f t="shared" si="0"/>
        <v>8.73</v>
      </c>
      <c r="N38" t="str">
        <f t="shared" si="1"/>
        <v>Liberica</v>
      </c>
      <c r="O38" t="str">
        <f t="shared" si="2"/>
        <v>Medium</v>
      </c>
      <c r="P38" t="str">
        <f>_xlfn.XLOOKUP(Orders[[#This Row],[Customer ID]],customers!$A$1:$A$1001,customers!$I$1:$I$1001,,0)</f>
        <v>No</v>
      </c>
    </row>
    <row r="39" spans="1:16" x14ac:dyDescent="0.25">
      <c r="A39" s="2" t="s">
        <v>699</v>
      </c>
      <c r="B39" s="3">
        <v>43580</v>
      </c>
      <c r="C39" s="2" t="s">
        <v>700</v>
      </c>
      <c r="D39" t="s">
        <v>6161</v>
      </c>
      <c r="E39" s="2">
        <v>3</v>
      </c>
      <c r="F39" s="2" t="str">
        <f>_xlfn.XLOOKUP(orders!C39,customers!$A$1:$A$1001,customers!$B$1:$B$1001,,0)</f>
        <v>Silvio Strase</v>
      </c>
      <c r="G39" s="2" t="str">
        <f>IF(_xlfn.XLOOKUP(orders!C39,customers!$A$1:$A$1001,customers!$C$1:$C$1001,,0)=0,"",_xlfn.XLOOKUP(orders!C39,customers!$A$1:$A$1001,customers!$C$1:$C$1001,,0))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6">
        <f t="shared" si="0"/>
        <v>28.53</v>
      </c>
      <c r="N39" t="str">
        <f t="shared" si="1"/>
        <v>Liberica</v>
      </c>
      <c r="O39" t="str">
        <f t="shared" si="2"/>
        <v>Light</v>
      </c>
      <c r="P39" t="str">
        <f>_xlfn.XLOOKUP(Orders[[#This Row],[Customer ID]],customers!$A$1:$A$1001,customers!$I$1:$I$1001,,0)</f>
        <v>No</v>
      </c>
    </row>
    <row r="40" spans="1:16" x14ac:dyDescent="0.25">
      <c r="A40" s="2" t="s">
        <v>705</v>
      </c>
      <c r="B40" s="3">
        <v>43946</v>
      </c>
      <c r="C40" s="2" t="s">
        <v>706</v>
      </c>
      <c r="D40" t="s">
        <v>6151</v>
      </c>
      <c r="E40" s="2">
        <v>5</v>
      </c>
      <c r="F40" s="2" t="str">
        <f>_xlfn.XLOOKUP(orders!C40,customers!$A$1:$A$1001,customers!$B$1:$B$1001,,0)</f>
        <v>Dorie de la Tremoille</v>
      </c>
      <c r="G40" s="2" t="str">
        <f>IF(_xlfn.XLOOKUP(orders!C40,customers!$A$1:$A$1001,customers!$C$1:$C$1001,,0)=0,"",_xlfn.XLOOKUP(orders!C40,customers!$A$1:$A$1001,customers!$C$1:$C$1001,,0))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6">
        <f t="shared" si="0"/>
        <v>114.42499999999998</v>
      </c>
      <c r="N40" t="str">
        <f t="shared" si="1"/>
        <v>Robusta</v>
      </c>
      <c r="O40" t="str">
        <f t="shared" si="2"/>
        <v>Medium</v>
      </c>
      <c r="P40" t="str">
        <f>_xlfn.XLOOKUP(Orders[[#This Row],[Customer ID]],customers!$A$1:$A$1001,customers!$I$1:$I$1001,,0)</f>
        <v>No</v>
      </c>
    </row>
    <row r="41" spans="1:16" x14ac:dyDescent="0.25">
      <c r="A41" s="2" t="s">
        <v>711</v>
      </c>
      <c r="B41" s="3">
        <v>44524</v>
      </c>
      <c r="C41" s="2" t="s">
        <v>712</v>
      </c>
      <c r="D41" t="s">
        <v>6138</v>
      </c>
      <c r="E41" s="2">
        <v>6</v>
      </c>
      <c r="F41" s="2" t="str">
        <f>_xlfn.XLOOKUP(orders!C41,customers!$A$1:$A$1001,customers!$B$1:$B$1001,,0)</f>
        <v>Hy Zanetto</v>
      </c>
      <c r="G41" s="2" t="str">
        <f>IF(_xlfn.XLOOKUP(orders!C41,customers!$A$1:$A$1001,customers!$C$1:$C$1001,,0)=0,"",_xlfn.XLOOKUP(orders!C41,customers!$A$1:$A$1001,customers!$C$1:$C$1001,,0))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6">
        <f t="shared" si="0"/>
        <v>59.699999999999996</v>
      </c>
      <c r="N41" t="str">
        <f t="shared" si="1"/>
        <v>Robusta</v>
      </c>
      <c r="O41" t="str">
        <f t="shared" si="2"/>
        <v>Medium</v>
      </c>
      <c r="P41" t="str">
        <f>_xlfn.XLOOKUP(Orders[[#This Row],[Customer ID]],customers!$A$1:$A$1001,customers!$I$1:$I$1001,,0)</f>
        <v>Yes</v>
      </c>
    </row>
    <row r="42" spans="1:16" x14ac:dyDescent="0.25">
      <c r="A42" s="2" t="s">
        <v>715</v>
      </c>
      <c r="B42" s="3">
        <v>44305</v>
      </c>
      <c r="C42" s="2" t="s">
        <v>716</v>
      </c>
      <c r="D42" t="s">
        <v>6162</v>
      </c>
      <c r="E42" s="2">
        <v>3</v>
      </c>
      <c r="F42" s="2" t="str">
        <f>_xlfn.XLOOKUP(orders!C42,customers!$A$1:$A$1001,customers!$B$1:$B$1001,,0)</f>
        <v>Jessica McNess</v>
      </c>
      <c r="G42" s="2" t="str">
        <f>IF(_xlfn.XLOOKUP(orders!C42,customers!$A$1:$A$1001,customers!$C$1:$C$1001,,0)=0,"",_xlfn.XLOOKUP(orders!C42,customers!$A$1:$A$1001,customers!$C$1:$C$1001,,0))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6">
        <f t="shared" si="0"/>
        <v>43.650000000000006</v>
      </c>
      <c r="N42" t="str">
        <f t="shared" si="1"/>
        <v>Liberica</v>
      </c>
      <c r="O42" t="str">
        <f t="shared" si="2"/>
        <v>Medium</v>
      </c>
      <c r="P42" t="str">
        <f>_xlfn.XLOOKUP(Orders[[#This Row],[Customer ID]],customers!$A$1:$A$1001,customers!$I$1:$I$1001,,0)</f>
        <v>No</v>
      </c>
    </row>
    <row r="43" spans="1:16" x14ac:dyDescent="0.25">
      <c r="A43" s="2" t="s">
        <v>720</v>
      </c>
      <c r="B43" s="3">
        <v>44749</v>
      </c>
      <c r="C43" s="2" t="s">
        <v>721</v>
      </c>
      <c r="D43" t="s">
        <v>6153</v>
      </c>
      <c r="E43" s="2">
        <v>2</v>
      </c>
      <c r="F43" s="2" t="str">
        <f>_xlfn.XLOOKUP(orders!C43,customers!$A$1:$A$1001,customers!$B$1:$B$1001,,0)</f>
        <v>Lorenzo Yeoland</v>
      </c>
      <c r="G43" s="2" t="str">
        <f>IF(_xlfn.XLOOKUP(orders!C43,customers!$A$1:$A$1001,customers!$C$1:$C$1001,,0)=0,"",_xlfn.XLOOKUP(orders!C43,customers!$A$1:$A$1001,customers!$C$1:$C$1001,,0))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6">
        <f t="shared" si="0"/>
        <v>7.29</v>
      </c>
      <c r="N43" t="str">
        <f t="shared" si="1"/>
        <v>Excelsa</v>
      </c>
      <c r="O43" t="str">
        <f t="shared" si="2"/>
        <v>Dark</v>
      </c>
      <c r="P43" t="str">
        <f>_xlfn.XLOOKUP(Orders[[#This Row],[Customer ID]],customers!$A$1:$A$1001,customers!$I$1:$I$1001,,0)</f>
        <v>Yes</v>
      </c>
    </row>
    <row r="44" spans="1:16" x14ac:dyDescent="0.25">
      <c r="A44" s="2" t="s">
        <v>726</v>
      </c>
      <c r="B44" s="3">
        <v>43607</v>
      </c>
      <c r="C44" s="2" t="s">
        <v>727</v>
      </c>
      <c r="D44" t="s">
        <v>6163</v>
      </c>
      <c r="E44" s="2">
        <v>3</v>
      </c>
      <c r="F44" s="2" t="str">
        <f>_xlfn.XLOOKUP(orders!C44,customers!$A$1:$A$1001,customers!$B$1:$B$1001,,0)</f>
        <v>Abigail Tolworthy</v>
      </c>
      <c r="G44" s="2" t="str">
        <f>IF(_xlfn.XLOOKUP(orders!C44,customers!$A$1:$A$1001,customers!$C$1:$C$1001,,0)=0,"",_xlfn.XLOOKUP(orders!C44,customers!$A$1:$A$1001,customers!$C$1:$C$1001,,0))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6">
        <f t="shared" si="0"/>
        <v>8.0549999999999997</v>
      </c>
      <c r="N44" t="str">
        <f t="shared" si="1"/>
        <v>Robusta</v>
      </c>
      <c r="O44" t="str">
        <f t="shared" si="2"/>
        <v>Dark</v>
      </c>
      <c r="P44" t="str">
        <f>_xlfn.XLOOKUP(Orders[[#This Row],[Customer ID]],customers!$A$1:$A$1001,customers!$I$1:$I$1001,,0)</f>
        <v>Yes</v>
      </c>
    </row>
    <row r="45" spans="1:16" x14ac:dyDescent="0.25">
      <c r="A45" s="2" t="s">
        <v>733</v>
      </c>
      <c r="B45" s="3">
        <v>44473</v>
      </c>
      <c r="C45" s="2" t="s">
        <v>734</v>
      </c>
      <c r="D45" t="s">
        <v>6164</v>
      </c>
      <c r="E45" s="2">
        <v>2</v>
      </c>
      <c r="F45" s="2" t="str">
        <f>_xlfn.XLOOKUP(orders!C45,customers!$A$1:$A$1001,customers!$B$1:$B$1001,,0)</f>
        <v>Maurie Bartol</v>
      </c>
      <c r="G45" s="2" t="str">
        <f>IF(_xlfn.XLOOKUP(orders!C45,customers!$A$1:$A$1001,customers!$C$1:$C$1001,,0)=0,"",_xlfn.XLOOKUP(orders!C45,customers!$A$1:$A$1001,customers!$C$1:$C$1001,,0))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6">
        <f t="shared" si="0"/>
        <v>72.91</v>
      </c>
      <c r="N45" t="str">
        <f t="shared" si="1"/>
        <v>Liberica</v>
      </c>
      <c r="O45" t="str">
        <f t="shared" si="2"/>
        <v>Light</v>
      </c>
      <c r="P45" t="str">
        <f>_xlfn.XLOOKUP(Orders[[#This Row],[Customer ID]],customers!$A$1:$A$1001,customers!$I$1:$I$1001,,0)</f>
        <v>No</v>
      </c>
    </row>
    <row r="46" spans="1:16" x14ac:dyDescent="0.25">
      <c r="A46" s="2" t="s">
        <v>738</v>
      </c>
      <c r="B46" s="3">
        <v>43932</v>
      </c>
      <c r="C46" s="2" t="s">
        <v>739</v>
      </c>
      <c r="D46" t="s">
        <v>6139</v>
      </c>
      <c r="E46" s="2">
        <v>2</v>
      </c>
      <c r="F46" s="2" t="str">
        <f>_xlfn.XLOOKUP(orders!C46,customers!$A$1:$A$1001,customers!$B$1:$B$1001,,0)</f>
        <v>Olag Baudassi</v>
      </c>
      <c r="G46" s="2" t="str">
        <f>IF(_xlfn.XLOOKUP(orders!C46,customers!$A$1:$A$1001,customers!$C$1:$C$1001,,0)=0,"",_xlfn.XLOOKUP(orders!C46,customers!$A$1:$A$1001,customers!$C$1:$C$1001,,0))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6">
        <f t="shared" si="0"/>
        <v>16.5</v>
      </c>
      <c r="N46" t="str">
        <f t="shared" si="1"/>
        <v>Excelsa</v>
      </c>
      <c r="O46" t="str">
        <f t="shared" si="2"/>
        <v>Medium</v>
      </c>
      <c r="P46" t="str">
        <f>_xlfn.XLOOKUP(Orders[[#This Row],[Customer ID]],customers!$A$1:$A$1001,customers!$I$1:$I$1001,,0)</f>
        <v>Yes</v>
      </c>
    </row>
    <row r="47" spans="1:16" x14ac:dyDescent="0.25">
      <c r="A47" s="2" t="s">
        <v>744</v>
      </c>
      <c r="B47" s="3">
        <v>44592</v>
      </c>
      <c r="C47" s="2" t="s">
        <v>745</v>
      </c>
      <c r="D47" t="s">
        <v>6165</v>
      </c>
      <c r="E47" s="2">
        <v>6</v>
      </c>
      <c r="F47" s="2" t="str">
        <f>_xlfn.XLOOKUP(orders!C47,customers!$A$1:$A$1001,customers!$B$1:$B$1001,,0)</f>
        <v>Petey Kingsbury</v>
      </c>
      <c r="G47" s="2" t="str">
        <f>IF(_xlfn.XLOOKUP(orders!C47,customers!$A$1:$A$1001,customers!$C$1:$C$1001,,0)=0,"",_xlfn.XLOOKUP(orders!C47,customers!$A$1:$A$1001,customers!$C$1:$C$1001,,0))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6">
        <f t="shared" si="0"/>
        <v>178.70999999999998</v>
      </c>
      <c r="N47" t="str">
        <f t="shared" si="1"/>
        <v>Liberica</v>
      </c>
      <c r="O47" t="str">
        <f t="shared" si="2"/>
        <v>Dark</v>
      </c>
      <c r="P47" t="str">
        <f>_xlfn.XLOOKUP(Orders[[#This Row],[Customer ID]],customers!$A$1:$A$1001,customers!$I$1:$I$1001,,0)</f>
        <v>No</v>
      </c>
    </row>
    <row r="48" spans="1:16" x14ac:dyDescent="0.25">
      <c r="A48" s="2" t="s">
        <v>750</v>
      </c>
      <c r="B48" s="3">
        <v>43776</v>
      </c>
      <c r="C48" s="2" t="s">
        <v>751</v>
      </c>
      <c r="D48" t="s">
        <v>6166</v>
      </c>
      <c r="E48" s="2">
        <v>2</v>
      </c>
      <c r="F48" s="2" t="str">
        <f>_xlfn.XLOOKUP(orders!C48,customers!$A$1:$A$1001,customers!$B$1:$B$1001,,0)</f>
        <v>Donna Baskeyfied</v>
      </c>
      <c r="G48" s="2" t="str">
        <f>IF(_xlfn.XLOOKUP(orders!C48,customers!$A$1:$A$1001,customers!$C$1:$C$1001,,0)=0,"",_xlfn.XLOOKUP(orders!C48,customers!$A$1:$A$1001,customers!$C$1:$C$1001,,0))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6">
        <f t="shared" si="0"/>
        <v>63.249999999999993</v>
      </c>
      <c r="N48" t="str">
        <f t="shared" si="1"/>
        <v>Excelsa</v>
      </c>
      <c r="O48" t="str">
        <f t="shared" si="2"/>
        <v>Medium</v>
      </c>
      <c r="P48" t="str">
        <f>_xlfn.XLOOKUP(Orders[[#This Row],[Customer ID]],customers!$A$1:$A$1001,customers!$I$1:$I$1001,,0)</f>
        <v>Yes</v>
      </c>
    </row>
    <row r="49" spans="1:16" x14ac:dyDescent="0.25">
      <c r="A49" s="2" t="s">
        <v>755</v>
      </c>
      <c r="B49" s="3">
        <v>43644</v>
      </c>
      <c r="C49" s="2" t="s">
        <v>756</v>
      </c>
      <c r="D49" t="s">
        <v>6167</v>
      </c>
      <c r="E49" s="2">
        <v>2</v>
      </c>
      <c r="F49" s="2" t="str">
        <f>_xlfn.XLOOKUP(orders!C49,customers!$A$1:$A$1001,customers!$B$1:$B$1001,,0)</f>
        <v>Arda Curley</v>
      </c>
      <c r="G49" s="2" t="str">
        <f>IF(_xlfn.XLOOKUP(orders!C49,customers!$A$1:$A$1001,customers!$C$1:$C$1001,,0)=0,"",_xlfn.XLOOKUP(orders!C49,customers!$A$1:$A$1001,customers!$C$1:$C$1001,,0))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6">
        <f t="shared" si="0"/>
        <v>7.77</v>
      </c>
      <c r="N49" t="str">
        <f t="shared" si="1"/>
        <v>Arabica</v>
      </c>
      <c r="O49" t="str">
        <f t="shared" si="2"/>
        <v>Light</v>
      </c>
      <c r="P49" t="str">
        <f>_xlfn.XLOOKUP(Orders[[#This Row],[Customer ID]],customers!$A$1:$A$1001,customers!$I$1:$I$1001,,0)</f>
        <v>Yes</v>
      </c>
    </row>
    <row r="50" spans="1:16" x14ac:dyDescent="0.25">
      <c r="A50" s="2" t="s">
        <v>761</v>
      </c>
      <c r="B50" s="3">
        <v>44085</v>
      </c>
      <c r="C50" s="2" t="s">
        <v>762</v>
      </c>
      <c r="D50" t="s">
        <v>6168</v>
      </c>
      <c r="E50" s="2">
        <v>4</v>
      </c>
      <c r="F50" s="2" t="str">
        <f>_xlfn.XLOOKUP(orders!C50,customers!$A$1:$A$1001,customers!$B$1:$B$1001,,0)</f>
        <v>Raynor McGilvary</v>
      </c>
      <c r="G50" s="2" t="str">
        <f>IF(_xlfn.XLOOKUP(orders!C50,customers!$A$1:$A$1001,customers!$C$1:$C$1001,,0)=0,"",_xlfn.XLOOKUP(orders!C50,customers!$A$1:$A$1001,customers!$C$1:$C$1001,,0))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6">
        <f t="shared" si="0"/>
        <v>91.539999999999992</v>
      </c>
      <c r="N50" t="str">
        <f t="shared" si="1"/>
        <v>Arabica</v>
      </c>
      <c r="O50" t="str">
        <f t="shared" si="2"/>
        <v>Dark</v>
      </c>
      <c r="P50" t="str">
        <f>_xlfn.XLOOKUP(Orders[[#This Row],[Customer ID]],customers!$A$1:$A$1001,customers!$I$1:$I$1001,,0)</f>
        <v>No</v>
      </c>
    </row>
    <row r="51" spans="1:16" x14ac:dyDescent="0.25">
      <c r="A51" s="2" t="s">
        <v>766</v>
      </c>
      <c r="B51" s="3">
        <v>44790</v>
      </c>
      <c r="C51" s="2" t="s">
        <v>767</v>
      </c>
      <c r="D51" t="s">
        <v>6140</v>
      </c>
      <c r="E51" s="2">
        <v>3</v>
      </c>
      <c r="F51" s="2" t="str">
        <f>_xlfn.XLOOKUP(orders!C51,customers!$A$1:$A$1001,customers!$B$1:$B$1001,,0)</f>
        <v>Isis Pikett</v>
      </c>
      <c r="G51" s="2" t="str">
        <f>IF(_xlfn.XLOOKUP(orders!C51,customers!$A$1:$A$1001,customers!$C$1:$C$1001,,0)=0,"",_xlfn.XLOOKUP(orders!C51,customers!$A$1:$A$1001,customers!$C$1:$C$1001,,0))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6">
        <f t="shared" si="0"/>
        <v>38.849999999999994</v>
      </c>
      <c r="N51" t="str">
        <f t="shared" si="1"/>
        <v>Arabica</v>
      </c>
      <c r="O51" t="str">
        <f t="shared" si="2"/>
        <v>Light</v>
      </c>
      <c r="P51" t="str">
        <f>_xlfn.XLOOKUP(Orders[[#This Row],[Customer ID]],customers!$A$1:$A$1001,customers!$I$1:$I$1001,,0)</f>
        <v>No</v>
      </c>
    </row>
    <row r="52" spans="1:16" x14ac:dyDescent="0.25">
      <c r="A52" s="2" t="s">
        <v>772</v>
      </c>
      <c r="B52" s="3">
        <v>44792</v>
      </c>
      <c r="C52" s="2" t="s">
        <v>773</v>
      </c>
      <c r="D52" t="s">
        <v>6169</v>
      </c>
      <c r="E52" s="2">
        <v>2</v>
      </c>
      <c r="F52" s="2" t="str">
        <f>_xlfn.XLOOKUP(orders!C52,customers!$A$1:$A$1001,customers!$B$1:$B$1001,,0)</f>
        <v>Inger Bouldon</v>
      </c>
      <c r="G52" s="2" t="str">
        <f>IF(_xlfn.XLOOKUP(orders!C52,customers!$A$1:$A$1001,customers!$C$1:$C$1001,,0)=0,"",_xlfn.XLOOKUP(orders!C52,customers!$A$1:$A$1001,customers!$C$1:$C$1001,,0))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6">
        <f t="shared" si="0"/>
        <v>15.54</v>
      </c>
      <c r="N52" t="str">
        <f t="shared" si="1"/>
        <v>Liberica</v>
      </c>
      <c r="O52" t="str">
        <f t="shared" si="2"/>
        <v>Dark</v>
      </c>
      <c r="P52" t="str">
        <f>_xlfn.XLOOKUP(Orders[[#This Row],[Customer ID]],customers!$A$1:$A$1001,customers!$I$1:$I$1001,,0)</f>
        <v>No</v>
      </c>
    </row>
    <row r="53" spans="1:16" x14ac:dyDescent="0.25">
      <c r="A53" s="2" t="s">
        <v>778</v>
      </c>
      <c r="B53" s="3">
        <v>43600</v>
      </c>
      <c r="C53" s="2" t="s">
        <v>779</v>
      </c>
      <c r="D53" t="s">
        <v>6164</v>
      </c>
      <c r="E53" s="2">
        <v>4</v>
      </c>
      <c r="F53" s="2" t="str">
        <f>_xlfn.XLOOKUP(orders!C53,customers!$A$1:$A$1001,customers!$B$1:$B$1001,,0)</f>
        <v>Karry Flanders</v>
      </c>
      <c r="G53" s="2" t="str">
        <f>IF(_xlfn.XLOOKUP(orders!C53,customers!$A$1:$A$1001,customers!$C$1:$C$1001,,0)=0,"",_xlfn.XLOOKUP(orders!C53,customers!$A$1:$A$1001,customers!$C$1:$C$1001,,0))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6">
        <f t="shared" si="0"/>
        <v>145.82</v>
      </c>
      <c r="N53" t="str">
        <f t="shared" si="1"/>
        <v>Liberica</v>
      </c>
      <c r="O53" t="str">
        <f t="shared" si="2"/>
        <v>Light</v>
      </c>
      <c r="P53" t="str">
        <f>_xlfn.XLOOKUP(Orders[[#This Row],[Customer ID]],customers!$A$1:$A$1001,customers!$I$1:$I$1001,,0)</f>
        <v>Yes</v>
      </c>
    </row>
    <row r="54" spans="1:16" x14ac:dyDescent="0.25">
      <c r="A54" s="2" t="s">
        <v>784</v>
      </c>
      <c r="B54" s="3">
        <v>43719</v>
      </c>
      <c r="C54" s="2" t="s">
        <v>785</v>
      </c>
      <c r="D54" t="s">
        <v>6146</v>
      </c>
      <c r="E54" s="2">
        <v>5</v>
      </c>
      <c r="F54" s="2" t="str">
        <f>_xlfn.XLOOKUP(orders!C54,customers!$A$1:$A$1001,customers!$B$1:$B$1001,,0)</f>
        <v>Hartley Mattioli</v>
      </c>
      <c r="G54" s="2" t="str">
        <f>IF(_xlfn.XLOOKUP(orders!C54,customers!$A$1:$A$1001,customers!$C$1:$C$1001,,0)=0,"",_xlfn.XLOOKUP(orders!C54,customers!$A$1:$A$1001,customers!$C$1:$C$1001,,0))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6">
        <f t="shared" si="0"/>
        <v>29.849999999999998</v>
      </c>
      <c r="N54" t="str">
        <f t="shared" si="1"/>
        <v>Robusta</v>
      </c>
      <c r="O54" t="str">
        <f t="shared" si="2"/>
        <v>Medium</v>
      </c>
      <c r="P54" t="str">
        <f>_xlfn.XLOOKUP(Orders[[#This Row],[Customer ID]],customers!$A$1:$A$1001,customers!$I$1:$I$1001,,0)</f>
        <v>No</v>
      </c>
    </row>
    <row r="55" spans="1:16" x14ac:dyDescent="0.25">
      <c r="A55" s="2" t="s">
        <v>784</v>
      </c>
      <c r="B55" s="3">
        <v>43719</v>
      </c>
      <c r="C55" s="2" t="s">
        <v>785</v>
      </c>
      <c r="D55" t="s">
        <v>6164</v>
      </c>
      <c r="E55" s="2">
        <v>2</v>
      </c>
      <c r="F55" s="2" t="str">
        <f>_xlfn.XLOOKUP(orders!C55,customers!$A$1:$A$1001,customers!$B$1:$B$1001,,0)</f>
        <v>Hartley Mattioli</v>
      </c>
      <c r="G55" s="2" t="str">
        <f>IF(_xlfn.XLOOKUP(orders!C55,customers!$A$1:$A$1001,customers!$C$1:$C$1001,,0)=0,"",_xlfn.XLOOKUP(orders!C55,customers!$A$1:$A$1001,customers!$C$1:$C$1001,,0))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6">
        <f t="shared" si="0"/>
        <v>72.91</v>
      </c>
      <c r="N55" t="str">
        <f t="shared" si="1"/>
        <v>Liberica</v>
      </c>
      <c r="O55" t="str">
        <f t="shared" si="2"/>
        <v>Light</v>
      </c>
      <c r="P55" t="str">
        <f>_xlfn.XLOOKUP(Orders[[#This Row],[Customer ID]],customers!$A$1:$A$1001,customers!$I$1:$I$1001,,0)</f>
        <v>No</v>
      </c>
    </row>
    <row r="56" spans="1:16" x14ac:dyDescent="0.25">
      <c r="A56" s="2" t="s">
        <v>794</v>
      </c>
      <c r="B56" s="3">
        <v>44271</v>
      </c>
      <c r="C56" s="2" t="s">
        <v>795</v>
      </c>
      <c r="D56" t="s">
        <v>6162</v>
      </c>
      <c r="E56" s="2">
        <v>5</v>
      </c>
      <c r="F56" s="2" t="str">
        <f>_xlfn.XLOOKUP(orders!C56,customers!$A$1:$A$1001,customers!$B$1:$B$1001,,0)</f>
        <v>Archambault Gillard</v>
      </c>
      <c r="G56" s="2" t="str">
        <f>IF(_xlfn.XLOOKUP(orders!C56,customers!$A$1:$A$1001,customers!$C$1:$C$1001,,0)=0,"",_xlfn.XLOOKUP(orders!C56,customers!$A$1:$A$1001,customers!$C$1:$C$1001,,0))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6">
        <f t="shared" si="0"/>
        <v>72.75</v>
      </c>
      <c r="N56" t="str">
        <f t="shared" si="1"/>
        <v>Liberica</v>
      </c>
      <c r="O56" t="str">
        <f t="shared" si="2"/>
        <v>Medium</v>
      </c>
      <c r="P56" t="str">
        <f>_xlfn.XLOOKUP(Orders[[#This Row],[Customer ID]],customers!$A$1:$A$1001,customers!$I$1:$I$1001,,0)</f>
        <v>No</v>
      </c>
    </row>
    <row r="57" spans="1:16" x14ac:dyDescent="0.25">
      <c r="A57" s="2" t="s">
        <v>800</v>
      </c>
      <c r="B57" s="3">
        <v>44168</v>
      </c>
      <c r="C57" s="2" t="s">
        <v>801</v>
      </c>
      <c r="D57" t="s">
        <v>6170</v>
      </c>
      <c r="E57" s="2">
        <v>3</v>
      </c>
      <c r="F57" s="2" t="str">
        <f>_xlfn.XLOOKUP(orders!C57,customers!$A$1:$A$1001,customers!$B$1:$B$1001,,0)</f>
        <v>Salomo Cushworth</v>
      </c>
      <c r="G57" s="2" t="str">
        <f>IF(_xlfn.XLOOKUP(orders!C57,customers!$A$1:$A$1001,customers!$C$1:$C$1001,,0)=0,"",_xlfn.XLOOKUP(orders!C57,customers!$A$1:$A$1001,customers!$C$1:$C$1001,,0))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6">
        <f t="shared" si="0"/>
        <v>47.55</v>
      </c>
      <c r="N57" t="str">
        <f t="shared" si="1"/>
        <v>Liberica</v>
      </c>
      <c r="O57" t="str">
        <f t="shared" si="2"/>
        <v>Light</v>
      </c>
      <c r="P57" t="str">
        <f>_xlfn.XLOOKUP(Orders[[#This Row],[Customer ID]],customers!$A$1:$A$1001,customers!$I$1:$I$1001,,0)</f>
        <v>No</v>
      </c>
    </row>
    <row r="58" spans="1:16" x14ac:dyDescent="0.25">
      <c r="A58" s="2" t="s">
        <v>805</v>
      </c>
      <c r="B58" s="3">
        <v>43857</v>
      </c>
      <c r="C58" s="2" t="s">
        <v>806</v>
      </c>
      <c r="D58" t="s">
        <v>6153</v>
      </c>
      <c r="E58" s="2">
        <v>3</v>
      </c>
      <c r="F58" s="2" t="str">
        <f>_xlfn.XLOOKUP(orders!C58,customers!$A$1:$A$1001,customers!$B$1:$B$1001,,0)</f>
        <v>Theda Grizard</v>
      </c>
      <c r="G58" s="2" t="str">
        <f>IF(_xlfn.XLOOKUP(orders!C58,customers!$A$1:$A$1001,customers!$C$1:$C$1001,,0)=0,"",_xlfn.XLOOKUP(orders!C58,customers!$A$1:$A$1001,customers!$C$1:$C$1001,,0))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6">
        <f t="shared" si="0"/>
        <v>10.935</v>
      </c>
      <c r="N58" t="str">
        <f t="shared" si="1"/>
        <v>Excelsa</v>
      </c>
      <c r="O58" t="str">
        <f t="shared" si="2"/>
        <v>Dark</v>
      </c>
      <c r="P58" t="str">
        <f>_xlfn.XLOOKUP(Orders[[#This Row],[Customer ID]],customers!$A$1:$A$1001,customers!$I$1:$I$1001,,0)</f>
        <v>Yes</v>
      </c>
    </row>
    <row r="59" spans="1:16" x14ac:dyDescent="0.25">
      <c r="A59" s="2" t="s">
        <v>811</v>
      </c>
      <c r="B59" s="3">
        <v>44759</v>
      </c>
      <c r="C59" s="2" t="s">
        <v>812</v>
      </c>
      <c r="D59" t="s">
        <v>6171</v>
      </c>
      <c r="E59" s="2">
        <v>4</v>
      </c>
      <c r="F59" s="2" t="str">
        <f>_xlfn.XLOOKUP(orders!C59,customers!$A$1:$A$1001,customers!$B$1:$B$1001,,0)</f>
        <v>Rozele Relton</v>
      </c>
      <c r="G59" s="2" t="str">
        <f>IF(_xlfn.XLOOKUP(orders!C59,customers!$A$1:$A$1001,customers!$C$1:$C$1001,,0)=0,"",_xlfn.XLOOKUP(orders!C59,customers!$A$1:$A$1001,customers!$C$1:$C$1001,,0))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6">
        <f t="shared" si="0"/>
        <v>59.4</v>
      </c>
      <c r="N59" t="str">
        <f t="shared" si="1"/>
        <v>Excelsa</v>
      </c>
      <c r="O59" t="str">
        <f t="shared" si="2"/>
        <v>Light</v>
      </c>
      <c r="P59" t="str">
        <f>_xlfn.XLOOKUP(Orders[[#This Row],[Customer ID]],customers!$A$1:$A$1001,customers!$I$1:$I$1001,,0)</f>
        <v>No</v>
      </c>
    </row>
    <row r="60" spans="1:16" x14ac:dyDescent="0.25">
      <c r="A60" s="2" t="s">
        <v>817</v>
      </c>
      <c r="B60" s="3">
        <v>44624</v>
      </c>
      <c r="C60" s="2" t="s">
        <v>818</v>
      </c>
      <c r="D60" t="s">
        <v>6165</v>
      </c>
      <c r="E60" s="2">
        <v>3</v>
      </c>
      <c r="F60" s="2" t="str">
        <f>_xlfn.XLOOKUP(orders!C60,customers!$A$1:$A$1001,customers!$B$1:$B$1001,,0)</f>
        <v>Willa Rolling</v>
      </c>
      <c r="G60" s="2" t="str">
        <f>IF(_xlfn.XLOOKUP(orders!C60,customers!$A$1:$A$1001,customers!$C$1:$C$1001,,0)=0,"",_xlfn.XLOOKUP(orders!C60,customers!$A$1:$A$1001,customers!$C$1:$C$1001,,0))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6">
        <f t="shared" si="0"/>
        <v>89.35499999999999</v>
      </c>
      <c r="N60" t="str">
        <f t="shared" si="1"/>
        <v>Liberica</v>
      </c>
      <c r="O60" t="str">
        <f t="shared" si="2"/>
        <v>Dark</v>
      </c>
      <c r="P60" t="str">
        <f>_xlfn.XLOOKUP(Orders[[#This Row],[Customer ID]],customers!$A$1:$A$1001,customers!$I$1:$I$1001,,0)</f>
        <v>Yes</v>
      </c>
    </row>
    <row r="61" spans="1:16" x14ac:dyDescent="0.25">
      <c r="A61" s="2" t="s">
        <v>822</v>
      </c>
      <c r="B61" s="3">
        <v>44537</v>
      </c>
      <c r="C61" s="2" t="s">
        <v>823</v>
      </c>
      <c r="D61" t="s">
        <v>6160</v>
      </c>
      <c r="E61" s="2">
        <v>3</v>
      </c>
      <c r="F61" s="2" t="str">
        <f>_xlfn.XLOOKUP(orders!C61,customers!$A$1:$A$1001,customers!$B$1:$B$1001,,0)</f>
        <v>Stanislaus Gilroy</v>
      </c>
      <c r="G61" s="2" t="str">
        <f>IF(_xlfn.XLOOKUP(orders!C61,customers!$A$1:$A$1001,customers!$C$1:$C$1001,,0)=0,"",_xlfn.XLOOKUP(orders!C61,customers!$A$1:$A$1001,customers!$C$1:$C$1001,,0))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6">
        <f t="shared" si="0"/>
        <v>26.19</v>
      </c>
      <c r="N61" t="str">
        <f t="shared" si="1"/>
        <v>Liberica</v>
      </c>
      <c r="O61" t="str">
        <f t="shared" si="2"/>
        <v>Medium</v>
      </c>
      <c r="P61" t="str">
        <f>_xlfn.XLOOKUP(Orders[[#This Row],[Customer ID]],customers!$A$1:$A$1001,customers!$I$1:$I$1001,,0)</f>
        <v>Yes</v>
      </c>
    </row>
    <row r="62" spans="1:16" x14ac:dyDescent="0.25">
      <c r="A62" s="2" t="s">
        <v>827</v>
      </c>
      <c r="B62" s="3">
        <v>44252</v>
      </c>
      <c r="C62" s="2" t="s">
        <v>828</v>
      </c>
      <c r="D62" t="s">
        <v>6168</v>
      </c>
      <c r="E62" s="2">
        <v>5</v>
      </c>
      <c r="F62" s="2" t="str">
        <f>_xlfn.XLOOKUP(orders!C62,customers!$A$1:$A$1001,customers!$B$1:$B$1001,,0)</f>
        <v>Correy Cottingham</v>
      </c>
      <c r="G62" s="2" t="str">
        <f>IF(_xlfn.XLOOKUP(orders!C62,customers!$A$1:$A$1001,customers!$C$1:$C$1001,,0)=0,"",_xlfn.XLOOKUP(orders!C62,customers!$A$1:$A$1001,customers!$C$1:$C$1001,,0))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6">
        <f t="shared" si="0"/>
        <v>114.42499999999998</v>
      </c>
      <c r="N62" t="str">
        <f t="shared" si="1"/>
        <v>Arabica</v>
      </c>
      <c r="O62" t="str">
        <f t="shared" si="2"/>
        <v>Dark</v>
      </c>
      <c r="P62" t="str">
        <f>_xlfn.XLOOKUP(Orders[[#This Row],[Customer ID]],customers!$A$1:$A$1001,customers!$I$1:$I$1001,,0)</f>
        <v>No</v>
      </c>
    </row>
    <row r="63" spans="1:16" x14ac:dyDescent="0.25">
      <c r="A63" s="2" t="s">
        <v>833</v>
      </c>
      <c r="B63" s="3">
        <v>43521</v>
      </c>
      <c r="C63" s="2" t="s">
        <v>834</v>
      </c>
      <c r="D63" t="s">
        <v>6172</v>
      </c>
      <c r="E63" s="2">
        <v>5</v>
      </c>
      <c r="F63" s="2" t="str">
        <f>_xlfn.XLOOKUP(orders!C63,customers!$A$1:$A$1001,customers!$B$1:$B$1001,,0)</f>
        <v>Pammi Endacott</v>
      </c>
      <c r="G63" s="2" t="str">
        <f>IF(_xlfn.XLOOKUP(orders!C63,customers!$A$1:$A$1001,customers!$C$1:$C$1001,,0)=0,"",_xlfn.XLOOKUP(orders!C63,customers!$A$1:$A$1001,customers!$C$1:$C$1001,,0))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6">
        <f t="shared" si="0"/>
        <v>26.849999999999994</v>
      </c>
      <c r="N63" t="str">
        <f t="shared" si="1"/>
        <v>Robusta</v>
      </c>
      <c r="O63" t="str">
        <f t="shared" si="2"/>
        <v>Dark</v>
      </c>
      <c r="P63" t="str">
        <f>_xlfn.XLOOKUP(Orders[[#This Row],[Customer ID]],customers!$A$1:$A$1001,customers!$I$1:$I$1001,,0)</f>
        <v>Yes</v>
      </c>
    </row>
    <row r="64" spans="1:16" x14ac:dyDescent="0.25">
      <c r="A64" s="2" t="s">
        <v>838</v>
      </c>
      <c r="B64" s="3">
        <v>43505</v>
      </c>
      <c r="C64" s="2" t="s">
        <v>839</v>
      </c>
      <c r="D64" t="s">
        <v>6145</v>
      </c>
      <c r="E64" s="2">
        <v>5</v>
      </c>
      <c r="F64" s="2" t="str">
        <f>_xlfn.XLOOKUP(orders!C64,customers!$A$1:$A$1001,customers!$B$1:$B$1001,,0)</f>
        <v>Nona Linklater</v>
      </c>
      <c r="G64" s="2" t="str">
        <f>IF(_xlfn.XLOOKUP(orders!C64,customers!$A$1:$A$1001,customers!$C$1:$C$1001,,0)=0,"",_xlfn.XLOOKUP(orders!C64,customers!$A$1:$A$1001,customers!$C$1:$C$1001,,0))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6">
        <f t="shared" si="0"/>
        <v>23.774999999999999</v>
      </c>
      <c r="N64" t="str">
        <f t="shared" si="1"/>
        <v>Liberica</v>
      </c>
      <c r="O64" t="str">
        <f t="shared" si="2"/>
        <v>Light</v>
      </c>
      <c r="P64" t="str">
        <f>_xlfn.XLOOKUP(Orders[[#This Row],[Customer ID]],customers!$A$1:$A$1001,customers!$I$1:$I$1001,,0)</f>
        <v>Yes</v>
      </c>
    </row>
    <row r="65" spans="1:16" x14ac:dyDescent="0.25">
      <c r="A65" s="2" t="s">
        <v>843</v>
      </c>
      <c r="B65" s="3">
        <v>43868</v>
      </c>
      <c r="C65" s="2" t="s">
        <v>844</v>
      </c>
      <c r="D65" t="s">
        <v>6157</v>
      </c>
      <c r="E65" s="2">
        <v>1</v>
      </c>
      <c r="F65" s="2" t="str">
        <f>_xlfn.XLOOKUP(orders!C65,customers!$A$1:$A$1001,customers!$B$1:$B$1001,,0)</f>
        <v>Annadiane Dykes</v>
      </c>
      <c r="G65" s="2" t="str">
        <f>IF(_xlfn.XLOOKUP(orders!C65,customers!$A$1:$A$1001,customers!$C$1:$C$1001,,0)=0,"",_xlfn.XLOOKUP(orders!C65,customers!$A$1:$A$1001,customers!$C$1:$C$1001,,0))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6">
        <f t="shared" si="0"/>
        <v>6.75</v>
      </c>
      <c r="N65" t="str">
        <f t="shared" si="1"/>
        <v>Arabica</v>
      </c>
      <c r="O65" t="str">
        <f t="shared" si="2"/>
        <v>Medium</v>
      </c>
      <c r="P65" t="str">
        <f>_xlfn.XLOOKUP(Orders[[#This Row],[Customer ID]],customers!$A$1:$A$1001,customers!$I$1:$I$1001,,0)</f>
        <v>No</v>
      </c>
    </row>
    <row r="66" spans="1:16" x14ac:dyDescent="0.25">
      <c r="A66" s="2" t="s">
        <v>849</v>
      </c>
      <c r="B66" s="3">
        <v>43913</v>
      </c>
      <c r="C66" s="2" t="s">
        <v>850</v>
      </c>
      <c r="D66" t="s">
        <v>6146</v>
      </c>
      <c r="E66" s="2">
        <v>6</v>
      </c>
      <c r="F66" s="2" t="str">
        <f>_xlfn.XLOOKUP(orders!C66,customers!$A$1:$A$1001,customers!$B$1:$B$1001,,0)</f>
        <v>Felecia Dodgson</v>
      </c>
      <c r="G66" s="2" t="str">
        <f>IF(_xlfn.XLOOKUP(orders!C66,customers!$A$1:$A$1001,customers!$C$1:$C$1001,,0)=0,"",_xlfn.XLOOKUP(orders!C66,customers!$A$1:$A$1001,customers!$C$1:$C$1001,,0))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6">
        <f t="shared" si="0"/>
        <v>35.82</v>
      </c>
      <c r="N66" t="str">
        <f t="shared" si="1"/>
        <v>Robusta</v>
      </c>
      <c r="O66" t="str">
        <f t="shared" si="2"/>
        <v>Medium</v>
      </c>
      <c r="P66" t="str">
        <f>_xlfn.XLOOKUP(Orders[[#This Row],[Customer ID]],customers!$A$1:$A$1001,customers!$I$1:$I$1001,,0)</f>
        <v>Yes</v>
      </c>
    </row>
    <row r="67" spans="1:16" x14ac:dyDescent="0.25">
      <c r="A67" s="2" t="s">
        <v>854</v>
      </c>
      <c r="B67" s="3">
        <v>44626</v>
      </c>
      <c r="C67" s="2" t="s">
        <v>855</v>
      </c>
      <c r="D67" t="s">
        <v>6149</v>
      </c>
      <c r="E67" s="2">
        <v>4</v>
      </c>
      <c r="F67" s="2" t="str">
        <f>_xlfn.XLOOKUP(orders!C67,customers!$A$1:$A$1001,customers!$B$1:$B$1001,,0)</f>
        <v>Angelia Cockrem</v>
      </c>
      <c r="G67" s="2" t="str">
        <f>IF(_xlfn.XLOOKUP(orders!C67,customers!$A$1:$A$1001,customers!$C$1:$C$1001,,0)=0,"",_xlfn.XLOOKUP(orders!C67,customers!$A$1:$A$1001,customers!$C$1:$C$1001,,0))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6">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5">
      <c r="A68" s="2" t="s">
        <v>860</v>
      </c>
      <c r="B68" s="3">
        <v>44666</v>
      </c>
      <c r="C68" s="2" t="s">
        <v>861</v>
      </c>
      <c r="D68" t="s">
        <v>6173</v>
      </c>
      <c r="E68" s="2">
        <v>1</v>
      </c>
      <c r="F68" s="2" t="str">
        <f>_xlfn.XLOOKUP(orders!C68,customers!$A$1:$A$1001,customers!$B$1:$B$1001,,0)</f>
        <v>Belvia Umpleby</v>
      </c>
      <c r="G68" s="2" t="str">
        <f>IF(_xlfn.XLOOKUP(orders!C68,customers!$A$1:$A$1001,customers!$C$1:$C$1001,,0)=0,"",_xlfn.XLOOKUP(orders!C68,customers!$A$1:$A$1001,customers!$C$1:$C$1001,,0))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6">
        <f t="shared" si="3"/>
        <v>7.169999999999999</v>
      </c>
      <c r="N68" t="str">
        <f t="shared" si="4"/>
        <v>Robusta</v>
      </c>
      <c r="O68" t="str">
        <f t="shared" si="5"/>
        <v>Light</v>
      </c>
      <c r="P68" t="str">
        <f>_xlfn.XLOOKUP(Orders[[#This Row],[Customer ID]],customers!$A$1:$A$1001,customers!$I$1:$I$1001,,0)</f>
        <v>Yes</v>
      </c>
    </row>
    <row r="69" spans="1:16" x14ac:dyDescent="0.25">
      <c r="A69" s="2" t="s">
        <v>866</v>
      </c>
      <c r="B69" s="3">
        <v>44519</v>
      </c>
      <c r="C69" s="2" t="s">
        <v>867</v>
      </c>
      <c r="D69" t="s">
        <v>6145</v>
      </c>
      <c r="E69" s="2">
        <v>2</v>
      </c>
      <c r="F69" s="2" t="str">
        <f>_xlfn.XLOOKUP(orders!C69,customers!$A$1:$A$1001,customers!$B$1:$B$1001,,0)</f>
        <v>Nat Saleway</v>
      </c>
      <c r="G69" s="2" t="str">
        <f>IF(_xlfn.XLOOKUP(orders!C69,customers!$A$1:$A$1001,customers!$C$1:$C$1001,,0)=0,"",_xlfn.XLOOKUP(orders!C69,customers!$A$1:$A$1001,customers!$C$1:$C$1001,,0))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6">
        <f t="shared" si="3"/>
        <v>9.51</v>
      </c>
      <c r="N69" t="str">
        <f t="shared" si="4"/>
        <v>Liberica</v>
      </c>
      <c r="O69" t="str">
        <f t="shared" si="5"/>
        <v>Light</v>
      </c>
      <c r="P69" t="str">
        <f>_xlfn.XLOOKUP(Orders[[#This Row],[Customer ID]],customers!$A$1:$A$1001,customers!$I$1:$I$1001,,0)</f>
        <v>No</v>
      </c>
    </row>
    <row r="70" spans="1:16" x14ac:dyDescent="0.25">
      <c r="A70" s="2" t="s">
        <v>872</v>
      </c>
      <c r="B70" s="3">
        <v>43754</v>
      </c>
      <c r="C70" s="2" t="s">
        <v>873</v>
      </c>
      <c r="D70" t="s">
        <v>6174</v>
      </c>
      <c r="E70" s="2">
        <v>1</v>
      </c>
      <c r="F70" s="2" t="str">
        <f>_xlfn.XLOOKUP(orders!C70,customers!$A$1:$A$1001,customers!$B$1:$B$1001,,0)</f>
        <v>Hayward Goulter</v>
      </c>
      <c r="G70" s="2" t="str">
        <f>IF(_xlfn.XLOOKUP(orders!C70,customers!$A$1:$A$1001,customers!$C$1:$C$1001,,0)=0,"",_xlfn.XLOOKUP(orders!C70,customers!$A$1:$A$1001,customers!$C$1:$C$1001,,0))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6">
        <f t="shared" si="3"/>
        <v>2.9849999999999999</v>
      </c>
      <c r="N70" t="str">
        <f t="shared" si="4"/>
        <v>Robusta</v>
      </c>
      <c r="O70" t="str">
        <f t="shared" si="5"/>
        <v>Medium</v>
      </c>
      <c r="P70" t="str">
        <f>_xlfn.XLOOKUP(Orders[[#This Row],[Customer ID]],customers!$A$1:$A$1001,customers!$I$1:$I$1001,,0)</f>
        <v>No</v>
      </c>
    </row>
    <row r="71" spans="1:16" x14ac:dyDescent="0.25">
      <c r="A71" s="2" t="s">
        <v>878</v>
      </c>
      <c r="B71" s="3">
        <v>43795</v>
      </c>
      <c r="C71" s="2" t="s">
        <v>879</v>
      </c>
      <c r="D71" t="s">
        <v>6138</v>
      </c>
      <c r="E71" s="2">
        <v>6</v>
      </c>
      <c r="F71" s="2" t="str">
        <f>_xlfn.XLOOKUP(orders!C71,customers!$A$1:$A$1001,customers!$B$1:$B$1001,,0)</f>
        <v>Gay Rizzello</v>
      </c>
      <c r="G71" s="2" t="str">
        <f>IF(_xlfn.XLOOKUP(orders!C71,customers!$A$1:$A$1001,customers!$C$1:$C$1001,,0)=0,"",_xlfn.XLOOKUP(orders!C71,customers!$A$1:$A$1001,customers!$C$1:$C$1001,,0))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6">
        <f t="shared" si="3"/>
        <v>59.699999999999996</v>
      </c>
      <c r="N71" t="str">
        <f t="shared" si="4"/>
        <v>Robusta</v>
      </c>
      <c r="O71" t="str">
        <f t="shared" si="5"/>
        <v>Medium</v>
      </c>
      <c r="P71" t="str">
        <f>_xlfn.XLOOKUP(Orders[[#This Row],[Customer ID]],customers!$A$1:$A$1001,customers!$I$1:$I$1001,,0)</f>
        <v>Yes</v>
      </c>
    </row>
    <row r="72" spans="1:16" x14ac:dyDescent="0.25">
      <c r="A72" s="2" t="s">
        <v>885</v>
      </c>
      <c r="B72" s="3">
        <v>43646</v>
      </c>
      <c r="C72" s="2" t="s">
        <v>886</v>
      </c>
      <c r="D72" t="s">
        <v>6148</v>
      </c>
      <c r="E72" s="2">
        <v>4</v>
      </c>
      <c r="F72" s="2" t="str">
        <f>_xlfn.XLOOKUP(orders!C72,customers!$A$1:$A$1001,customers!$B$1:$B$1001,,0)</f>
        <v>Shannon List</v>
      </c>
      <c r="G72" s="2" t="str">
        <f>IF(_xlfn.XLOOKUP(orders!C72,customers!$A$1:$A$1001,customers!$C$1:$C$1001,,0)=0,"",_xlfn.XLOOKUP(orders!C72,customers!$A$1:$A$1001,customers!$C$1:$C$1001,,0))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6">
        <f t="shared" si="3"/>
        <v>136.61999999999998</v>
      </c>
      <c r="N72" t="str">
        <f t="shared" si="4"/>
        <v>Excelsa</v>
      </c>
      <c r="O72" t="str">
        <f t="shared" si="5"/>
        <v>Light</v>
      </c>
      <c r="P72" t="str">
        <f>_xlfn.XLOOKUP(Orders[[#This Row],[Customer ID]],customers!$A$1:$A$1001,customers!$I$1:$I$1001,,0)</f>
        <v>No</v>
      </c>
    </row>
    <row r="73" spans="1:16" x14ac:dyDescent="0.25">
      <c r="A73" s="2" t="s">
        <v>891</v>
      </c>
      <c r="B73" s="3">
        <v>44200</v>
      </c>
      <c r="C73" s="2" t="s">
        <v>892</v>
      </c>
      <c r="D73" t="s">
        <v>6145</v>
      </c>
      <c r="E73" s="2">
        <v>2</v>
      </c>
      <c r="F73" s="2" t="str">
        <f>_xlfn.XLOOKUP(orders!C73,customers!$A$1:$A$1001,customers!$B$1:$B$1001,,0)</f>
        <v>Shirlene Edmondson</v>
      </c>
      <c r="G73" s="2" t="str">
        <f>IF(_xlfn.XLOOKUP(orders!C73,customers!$A$1:$A$1001,customers!$C$1:$C$1001,,0)=0,"",_xlfn.XLOOKUP(orders!C73,customers!$A$1:$A$1001,customers!$C$1:$C$1001,,0))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6">
        <f t="shared" si="3"/>
        <v>9.51</v>
      </c>
      <c r="N73" t="str">
        <f t="shared" si="4"/>
        <v>Liberica</v>
      </c>
      <c r="O73" t="str">
        <f t="shared" si="5"/>
        <v>Light</v>
      </c>
      <c r="P73" t="str">
        <f>_xlfn.XLOOKUP(Orders[[#This Row],[Customer ID]],customers!$A$1:$A$1001,customers!$I$1:$I$1001,,0)</f>
        <v>No</v>
      </c>
    </row>
    <row r="74" spans="1:16" x14ac:dyDescent="0.25">
      <c r="A74" s="2" t="s">
        <v>897</v>
      </c>
      <c r="B74" s="3">
        <v>44131</v>
      </c>
      <c r="C74" s="2" t="s">
        <v>898</v>
      </c>
      <c r="D74" t="s">
        <v>6175</v>
      </c>
      <c r="E74" s="2">
        <v>3</v>
      </c>
      <c r="F74" s="2" t="str">
        <f>_xlfn.XLOOKUP(orders!C74,customers!$A$1:$A$1001,customers!$B$1:$B$1001,,0)</f>
        <v>Aurlie McCarl</v>
      </c>
      <c r="G74" s="2" t="str">
        <f>IF(_xlfn.XLOOKUP(orders!C74,customers!$A$1:$A$1001,customers!$C$1:$C$1001,,0)=0,"",_xlfn.XLOOKUP(orders!C74,customers!$A$1:$A$1001,customers!$C$1:$C$1001,,0))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6">
        <f t="shared" si="3"/>
        <v>77.624999999999986</v>
      </c>
      <c r="N74" t="str">
        <f t="shared" si="4"/>
        <v>Arabica</v>
      </c>
      <c r="O74" t="str">
        <f t="shared" si="5"/>
        <v>Medium</v>
      </c>
      <c r="P74" t="str">
        <f>_xlfn.XLOOKUP(Orders[[#This Row],[Customer ID]],customers!$A$1:$A$1001,customers!$I$1:$I$1001,,0)</f>
        <v>No</v>
      </c>
    </row>
    <row r="75" spans="1:16" x14ac:dyDescent="0.25">
      <c r="A75" s="2" t="s">
        <v>902</v>
      </c>
      <c r="B75" s="3">
        <v>44362</v>
      </c>
      <c r="C75" s="2" t="s">
        <v>903</v>
      </c>
      <c r="D75" t="s">
        <v>6159</v>
      </c>
      <c r="E75" s="2">
        <v>5</v>
      </c>
      <c r="F75" s="2" t="str">
        <f>_xlfn.XLOOKUP(orders!C75,customers!$A$1:$A$1001,customers!$B$1:$B$1001,,0)</f>
        <v>Alikee Carryer</v>
      </c>
      <c r="G75" s="2" t="str">
        <f>IF(_xlfn.XLOOKUP(orders!C75,customers!$A$1:$A$1001,customers!$C$1:$C$1001,,0)=0,"",_xlfn.XLOOKUP(orders!C75,customers!$A$1:$A$1001,customers!$C$1:$C$1001,,0))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6">
        <f t="shared" si="3"/>
        <v>21.825000000000003</v>
      </c>
      <c r="N75" t="str">
        <f t="shared" si="4"/>
        <v>Liberica</v>
      </c>
      <c r="O75" t="str">
        <f t="shared" si="5"/>
        <v>Medium</v>
      </c>
      <c r="P75" t="str">
        <f>_xlfn.XLOOKUP(Orders[[#This Row],[Customer ID]],customers!$A$1:$A$1001,customers!$I$1:$I$1001,,0)</f>
        <v>Yes</v>
      </c>
    </row>
    <row r="76" spans="1:16" x14ac:dyDescent="0.25">
      <c r="A76" s="2" t="s">
        <v>907</v>
      </c>
      <c r="B76" s="3">
        <v>44396</v>
      </c>
      <c r="C76" s="2" t="s">
        <v>908</v>
      </c>
      <c r="D76" t="s">
        <v>6176</v>
      </c>
      <c r="E76" s="2">
        <v>2</v>
      </c>
      <c r="F76" s="2" t="str">
        <f>_xlfn.XLOOKUP(orders!C76,customers!$A$1:$A$1001,customers!$B$1:$B$1001,,0)</f>
        <v>Jennifer Rangall</v>
      </c>
      <c r="G76" s="2" t="str">
        <f>IF(_xlfn.XLOOKUP(orders!C76,customers!$A$1:$A$1001,customers!$C$1:$C$1001,,0)=0,"",_xlfn.XLOOKUP(orders!C76,customers!$A$1:$A$1001,customers!$C$1:$C$1001,,0))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6">
        <f t="shared" si="3"/>
        <v>17.82</v>
      </c>
      <c r="N76" t="str">
        <f t="shared" si="4"/>
        <v>Excelsa</v>
      </c>
      <c r="O76" t="str">
        <f t="shared" si="5"/>
        <v>Light</v>
      </c>
      <c r="P76" t="str">
        <f>_xlfn.XLOOKUP(Orders[[#This Row],[Customer ID]],customers!$A$1:$A$1001,customers!$I$1:$I$1001,,0)</f>
        <v>Yes</v>
      </c>
    </row>
    <row r="77" spans="1:16" x14ac:dyDescent="0.25">
      <c r="A77" s="2" t="s">
        <v>913</v>
      </c>
      <c r="B77" s="3">
        <v>44400</v>
      </c>
      <c r="C77" s="2" t="s">
        <v>914</v>
      </c>
      <c r="D77" t="s">
        <v>6177</v>
      </c>
      <c r="E77" s="2">
        <v>6</v>
      </c>
      <c r="F77" s="2" t="str">
        <f>_xlfn.XLOOKUP(orders!C77,customers!$A$1:$A$1001,customers!$B$1:$B$1001,,0)</f>
        <v>Kipper Boorn</v>
      </c>
      <c r="G77" s="2" t="str">
        <f>IF(_xlfn.XLOOKUP(orders!C77,customers!$A$1:$A$1001,customers!$C$1:$C$1001,,0)=0,"",_xlfn.XLOOKUP(orders!C77,customers!$A$1:$A$1001,customers!$C$1:$C$1001,,0))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6">
        <f t="shared" si="3"/>
        <v>53.699999999999996</v>
      </c>
      <c r="N77" t="str">
        <f t="shared" si="4"/>
        <v>Robusta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_xlfn.XLOOKUP(orders!C78,customers!$A$1:$A$1001,customers!$B$1:$B$1001,,0)</f>
        <v>Melania Beadle</v>
      </c>
      <c r="G78" s="2" t="str">
        <f>IF(_xlfn.XLOOKUP(orders!C78,customers!$A$1:$A$1001,customers!$C$1:$C$1001,,0)=0,"",_xlfn.XLOOKUP(orders!C78,customers!$A$1:$A$1001,customers!$C$1:$C$1001,,0))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6">
        <f t="shared" si="3"/>
        <v>3.5849999999999995</v>
      </c>
      <c r="N78" t="str">
        <f t="shared" si="4"/>
        <v>Robusta</v>
      </c>
      <c r="O78" t="str">
        <f t="shared" si="5"/>
        <v>Light</v>
      </c>
      <c r="P78" t="str">
        <f>_xlfn.XLOOKUP(Orders[[#This Row],[Customer ID]],customers!$A$1:$A$1001,customers!$I$1:$I$1001,,0)</f>
        <v>Yes</v>
      </c>
    </row>
    <row r="79" spans="1:16" x14ac:dyDescent="0.25">
      <c r="A79" s="2" t="s">
        <v>924</v>
      </c>
      <c r="B79" s="3">
        <v>43594</v>
      </c>
      <c r="C79" s="2" t="s">
        <v>925</v>
      </c>
      <c r="D79" t="s">
        <v>6153</v>
      </c>
      <c r="E79" s="2">
        <v>2</v>
      </c>
      <c r="F79" s="2" t="str">
        <f>_xlfn.XLOOKUP(orders!C79,customers!$A$1:$A$1001,customers!$B$1:$B$1001,,0)</f>
        <v>Colene Elgey</v>
      </c>
      <c r="G79" s="2" t="str">
        <f>IF(_xlfn.XLOOKUP(orders!C79,customers!$A$1:$A$1001,customers!$C$1:$C$1001,,0)=0,"",_xlfn.XLOOKUP(orders!C79,customers!$A$1:$A$1001,customers!$C$1:$C$1001,,0))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6">
        <f t="shared" si="3"/>
        <v>7.29</v>
      </c>
      <c r="N79" t="str">
        <f t="shared" si="4"/>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_xlfn.XLOOKUP(orders!C80,customers!$A$1:$A$1001,customers!$B$1:$B$1001,,0)</f>
        <v>Lothaire Mizzi</v>
      </c>
      <c r="G80" s="2" t="str">
        <f>IF(_xlfn.XLOOKUP(orders!C80,customers!$A$1:$A$1001,customers!$C$1:$C$1001,,0)=0,"",_xlfn.XLOOKUP(orders!C80,customers!$A$1:$A$1001,customers!$C$1:$C$1001,,0))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6">
        <f t="shared" si="3"/>
        <v>40.5</v>
      </c>
      <c r="N80" t="str">
        <f t="shared" si="4"/>
        <v>Arabica</v>
      </c>
      <c r="O80" t="str">
        <f t="shared" si="5"/>
        <v>Medium</v>
      </c>
      <c r="P80" t="str">
        <f>_xlfn.XLOOKUP(Orders[[#This Row],[Customer ID]],customers!$A$1:$A$1001,customers!$I$1:$I$1001,,0)</f>
        <v>Yes</v>
      </c>
    </row>
    <row r="81" spans="1:16" x14ac:dyDescent="0.25">
      <c r="A81" s="2" t="s">
        <v>936</v>
      </c>
      <c r="B81" s="3">
        <v>44633</v>
      </c>
      <c r="C81" s="2" t="s">
        <v>937</v>
      </c>
      <c r="D81" t="s">
        <v>6179</v>
      </c>
      <c r="E81" s="2">
        <v>4</v>
      </c>
      <c r="F81" s="2" t="str">
        <f>_xlfn.XLOOKUP(orders!C81,customers!$A$1:$A$1001,customers!$B$1:$B$1001,,0)</f>
        <v>Cletis Giacomazzo</v>
      </c>
      <c r="G81" s="2" t="str">
        <f>IF(_xlfn.XLOOKUP(orders!C81,customers!$A$1:$A$1001,customers!$C$1:$C$1001,,0)=0,"",_xlfn.XLOOKUP(orders!C81,customers!$A$1:$A$1001,customers!$C$1:$C$1001,,0))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6">
        <f t="shared" si="3"/>
        <v>47.8</v>
      </c>
      <c r="N81" t="str">
        <f t="shared" si="4"/>
        <v>Robusta</v>
      </c>
      <c r="O81" t="str">
        <f t="shared" si="5"/>
        <v>Light</v>
      </c>
      <c r="P81" t="str">
        <f>_xlfn.XLOOKUP(Orders[[#This Row],[Customer ID]],customers!$A$1:$A$1001,customers!$I$1:$I$1001,,0)</f>
        <v>No</v>
      </c>
    </row>
    <row r="82" spans="1:16" x14ac:dyDescent="0.25">
      <c r="A82" s="2" t="s">
        <v>942</v>
      </c>
      <c r="B82" s="3">
        <v>43572</v>
      </c>
      <c r="C82" s="2" t="s">
        <v>943</v>
      </c>
      <c r="D82" t="s">
        <v>6180</v>
      </c>
      <c r="E82" s="2">
        <v>5</v>
      </c>
      <c r="F82" s="2" t="str">
        <f>_xlfn.XLOOKUP(orders!C82,customers!$A$1:$A$1001,customers!$B$1:$B$1001,,0)</f>
        <v>Ami Arnow</v>
      </c>
      <c r="G82" s="2" t="str">
        <f>IF(_xlfn.XLOOKUP(orders!C82,customers!$A$1:$A$1001,customers!$C$1:$C$1001,,0)=0,"",_xlfn.XLOOKUP(orders!C82,customers!$A$1:$A$1001,customers!$C$1:$C$1001,,0))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6">
        <f t="shared" si="3"/>
        <v>38.849999999999994</v>
      </c>
      <c r="N82" t="str">
        <f t="shared" si="4"/>
        <v>Arabica</v>
      </c>
      <c r="O82" t="str">
        <f t="shared" si="5"/>
        <v>Light</v>
      </c>
      <c r="P82" t="str">
        <f>_xlfn.XLOOKUP(Orders[[#This Row],[Customer ID]],customers!$A$1:$A$1001,customers!$I$1:$I$1001,,0)</f>
        <v>Yes</v>
      </c>
    </row>
    <row r="83" spans="1:16" x14ac:dyDescent="0.25">
      <c r="A83" s="2" t="s">
        <v>948</v>
      </c>
      <c r="B83" s="3">
        <v>43763</v>
      </c>
      <c r="C83" s="2" t="s">
        <v>949</v>
      </c>
      <c r="D83" t="s">
        <v>6164</v>
      </c>
      <c r="E83" s="2">
        <v>3</v>
      </c>
      <c r="F83" s="2" t="str">
        <f>_xlfn.XLOOKUP(orders!C83,customers!$A$1:$A$1001,customers!$B$1:$B$1001,,0)</f>
        <v>Sheppard Yann</v>
      </c>
      <c r="G83" s="2" t="str">
        <f>IF(_xlfn.XLOOKUP(orders!C83,customers!$A$1:$A$1001,customers!$C$1:$C$1001,,0)=0,"",_xlfn.XLOOKUP(orders!C83,customers!$A$1:$A$1001,customers!$C$1:$C$1001,,0))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6">
        <f t="shared" si="3"/>
        <v>109.36499999999999</v>
      </c>
      <c r="N83" t="str">
        <f t="shared" si="4"/>
        <v>Liberica</v>
      </c>
      <c r="O83" t="str">
        <f t="shared" si="5"/>
        <v>Light</v>
      </c>
      <c r="P83" t="str">
        <f>_xlfn.XLOOKUP(Orders[[#This Row],[Customer ID]],customers!$A$1:$A$1001,customers!$I$1:$I$1001,,0)</f>
        <v>Yes</v>
      </c>
    </row>
    <row r="84" spans="1:16" x14ac:dyDescent="0.25">
      <c r="A84" s="2" t="s">
        <v>954</v>
      </c>
      <c r="B84" s="3">
        <v>43721</v>
      </c>
      <c r="C84" s="2" t="s">
        <v>955</v>
      </c>
      <c r="D84" t="s">
        <v>6181</v>
      </c>
      <c r="E84" s="2">
        <v>3</v>
      </c>
      <c r="F84" s="2" t="str">
        <f>_xlfn.XLOOKUP(orders!C84,customers!$A$1:$A$1001,customers!$B$1:$B$1001,,0)</f>
        <v>Bunny Naulls</v>
      </c>
      <c r="G84" s="2" t="str">
        <f>IF(_xlfn.XLOOKUP(orders!C84,customers!$A$1:$A$1001,customers!$C$1:$C$1001,,0)=0,"",_xlfn.XLOOKUP(orders!C84,customers!$A$1:$A$1001,customers!$C$1:$C$1001,,0))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6">
        <f t="shared" si="3"/>
        <v>100.39499999999998</v>
      </c>
      <c r="N84" t="str">
        <f t="shared" si="4"/>
        <v>Liberica</v>
      </c>
      <c r="O84" t="str">
        <f t="shared" si="5"/>
        <v>Medium</v>
      </c>
      <c r="P84" t="str">
        <f>_xlfn.XLOOKUP(Orders[[#This Row],[Customer ID]],customers!$A$1:$A$1001,customers!$I$1:$I$1001,,0)</f>
        <v>Yes</v>
      </c>
    </row>
    <row r="85" spans="1:16" x14ac:dyDescent="0.25">
      <c r="A85" s="2" t="s">
        <v>960</v>
      </c>
      <c r="B85" s="3">
        <v>43933</v>
      </c>
      <c r="C85" s="2" t="s">
        <v>961</v>
      </c>
      <c r="D85" t="s">
        <v>6149</v>
      </c>
      <c r="E85" s="2">
        <v>4</v>
      </c>
      <c r="F85" s="2" t="str">
        <f>_xlfn.XLOOKUP(orders!C85,customers!$A$1:$A$1001,customers!$B$1:$B$1001,,0)</f>
        <v>Hally Lorait</v>
      </c>
      <c r="G85" s="2" t="str">
        <f>IF(_xlfn.XLOOKUP(orders!C85,customers!$A$1:$A$1001,customers!$C$1:$C$1001,,0)=0,"",_xlfn.XLOOKUP(orders!C85,customers!$A$1:$A$1001,customers!$C$1:$C$1001,,0))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6">
        <f t="shared" si="3"/>
        <v>82.339999999999989</v>
      </c>
      <c r="N85" t="str">
        <f t="shared" si="4"/>
        <v>Robusta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_xlfn.XLOOKUP(orders!C86,customers!$A$1:$A$1001,customers!$B$1:$B$1001,,0)</f>
        <v>Zaccaria Sherewood</v>
      </c>
      <c r="G86" s="2" t="str">
        <f>IF(_xlfn.XLOOKUP(orders!C86,customers!$A$1:$A$1001,customers!$C$1:$C$1001,,0)=0,"",_xlfn.XLOOKUP(orders!C86,customers!$A$1:$A$1001,customers!$C$1:$C$1001,,0))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6">
        <f t="shared" si="3"/>
        <v>9.51</v>
      </c>
      <c r="N86" t="str">
        <f t="shared" si="4"/>
        <v>Liberica</v>
      </c>
      <c r="O86" t="str">
        <f t="shared" si="5"/>
        <v>Light</v>
      </c>
      <c r="P86" t="str">
        <f>_xlfn.XLOOKUP(Orders[[#This Row],[Customer ID]],customers!$A$1:$A$1001,customers!$I$1:$I$1001,,0)</f>
        <v>No</v>
      </c>
    </row>
    <row r="87" spans="1:16" x14ac:dyDescent="0.25">
      <c r="A87" s="2" t="s">
        <v>971</v>
      </c>
      <c r="B87" s="3">
        <v>43664</v>
      </c>
      <c r="C87" s="2" t="s">
        <v>972</v>
      </c>
      <c r="D87" t="s">
        <v>6182</v>
      </c>
      <c r="E87" s="2">
        <v>3</v>
      </c>
      <c r="F87" s="2" t="str">
        <f>_xlfn.XLOOKUP(orders!C87,customers!$A$1:$A$1001,customers!$B$1:$B$1001,,0)</f>
        <v>Jeffrey Dufaire</v>
      </c>
      <c r="G87" s="2" t="str">
        <f>IF(_xlfn.XLOOKUP(orders!C87,customers!$A$1:$A$1001,customers!$C$1:$C$1001,,0)=0,"",_xlfn.XLOOKUP(orders!C87,customers!$A$1:$A$1001,customers!$C$1:$C$1001,,0))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6">
        <f t="shared" si="3"/>
        <v>89.35499999999999</v>
      </c>
      <c r="N87" t="str">
        <f t="shared" si="4"/>
        <v>Arabica</v>
      </c>
      <c r="O87" t="str">
        <f t="shared" si="5"/>
        <v>Light</v>
      </c>
      <c r="P87" t="str">
        <f>_xlfn.XLOOKUP(Orders[[#This Row],[Customer ID]],customers!$A$1:$A$1001,customers!$I$1:$I$1001,,0)</f>
        <v>No</v>
      </c>
    </row>
    <row r="88" spans="1:16" x14ac:dyDescent="0.25">
      <c r="A88" s="2" t="s">
        <v>971</v>
      </c>
      <c r="B88" s="3">
        <v>43664</v>
      </c>
      <c r="C88" s="2" t="s">
        <v>972</v>
      </c>
      <c r="D88" t="s">
        <v>6154</v>
      </c>
      <c r="E88" s="2">
        <v>4</v>
      </c>
      <c r="F88" s="2" t="str">
        <f>_xlfn.XLOOKUP(orders!C88,customers!$A$1:$A$1001,customers!$B$1:$B$1001,,0)</f>
        <v>Jeffrey Dufaire</v>
      </c>
      <c r="G88" s="2" t="str">
        <f>IF(_xlfn.XLOOKUP(orders!C88,customers!$A$1:$A$1001,customers!$C$1:$C$1001,,0)=0,"",_xlfn.XLOOKUP(orders!C88,customers!$A$1:$A$1001,customers!$C$1:$C$1001,,0))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6">
        <f t="shared" si="3"/>
        <v>11.94</v>
      </c>
      <c r="N88" t="str">
        <f t="shared" si="4"/>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_xlfn.XLOOKUP(orders!C89,customers!$A$1:$A$1001,customers!$B$1:$B$1001,,0)</f>
        <v>Beitris Keaveney</v>
      </c>
      <c r="G89" s="2" t="str">
        <f>IF(_xlfn.XLOOKUP(orders!C89,customers!$A$1:$A$1001,customers!$C$1:$C$1001,,0)=0,"",_xlfn.XLOOKUP(orders!C89,customers!$A$1:$A$1001,customers!$C$1:$C$1001,,0))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6">
        <f t="shared" si="3"/>
        <v>33.75</v>
      </c>
      <c r="N89" t="str">
        <f t="shared" si="4"/>
        <v>Arabica</v>
      </c>
      <c r="O89" t="str">
        <f t="shared" si="5"/>
        <v>Medium</v>
      </c>
      <c r="P89" t="str">
        <f>_xlfn.XLOOKUP(Orders[[#This Row],[Customer ID]],customers!$A$1:$A$1001,customers!$I$1:$I$1001,,0)</f>
        <v>No</v>
      </c>
    </row>
    <row r="90" spans="1:16" x14ac:dyDescent="0.25">
      <c r="A90" s="2" t="s">
        <v>985</v>
      </c>
      <c r="B90" s="3">
        <v>44284</v>
      </c>
      <c r="C90" s="2" t="s">
        <v>986</v>
      </c>
      <c r="D90" t="s">
        <v>6179</v>
      </c>
      <c r="E90" s="2">
        <v>3</v>
      </c>
      <c r="F90" s="2" t="str">
        <f>_xlfn.XLOOKUP(orders!C90,customers!$A$1:$A$1001,customers!$B$1:$B$1001,,0)</f>
        <v>Elna Grise</v>
      </c>
      <c r="G90" s="2" t="str">
        <f>IF(_xlfn.XLOOKUP(orders!C90,customers!$A$1:$A$1001,customers!$C$1:$C$1001,,0)=0,"",_xlfn.XLOOKUP(orders!C90,customers!$A$1:$A$1001,customers!$C$1:$C$1001,,0))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6">
        <f t="shared" si="3"/>
        <v>35.849999999999994</v>
      </c>
      <c r="N90" t="str">
        <f t="shared" si="4"/>
        <v>Robusta</v>
      </c>
      <c r="O90" t="str">
        <f t="shared" si="5"/>
        <v>Light</v>
      </c>
      <c r="P90" t="str">
        <f>_xlfn.XLOOKUP(Orders[[#This Row],[Customer ID]],customers!$A$1:$A$1001,customers!$I$1:$I$1001,,0)</f>
        <v>No</v>
      </c>
    </row>
    <row r="91" spans="1:16" x14ac:dyDescent="0.25">
      <c r="A91" s="2" t="s">
        <v>990</v>
      </c>
      <c r="B91" s="3">
        <v>44545</v>
      </c>
      <c r="C91" s="2" t="s">
        <v>991</v>
      </c>
      <c r="D91" t="s">
        <v>6140</v>
      </c>
      <c r="E91" s="2">
        <v>6</v>
      </c>
      <c r="F91" s="2" t="str">
        <f>_xlfn.XLOOKUP(orders!C91,customers!$A$1:$A$1001,customers!$B$1:$B$1001,,0)</f>
        <v>Torie Gottelier</v>
      </c>
      <c r="G91" s="2" t="str">
        <f>IF(_xlfn.XLOOKUP(orders!C91,customers!$A$1:$A$1001,customers!$C$1:$C$1001,,0)=0,"",_xlfn.XLOOKUP(orders!C91,customers!$A$1:$A$1001,customers!$C$1:$C$1001,,0))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6">
        <f t="shared" si="3"/>
        <v>77.699999999999989</v>
      </c>
      <c r="N91" t="str">
        <f t="shared" si="4"/>
        <v>Arabica</v>
      </c>
      <c r="O91" t="str">
        <f t="shared" si="5"/>
        <v>Light</v>
      </c>
      <c r="P91" t="str">
        <f>_xlfn.XLOOKUP(Orders[[#This Row],[Customer ID]],customers!$A$1:$A$1001,customers!$I$1:$I$1001,,0)</f>
        <v>No</v>
      </c>
    </row>
    <row r="92" spans="1:16" x14ac:dyDescent="0.25">
      <c r="A92" s="2" t="s">
        <v>996</v>
      </c>
      <c r="B92" s="3">
        <v>43971</v>
      </c>
      <c r="C92" s="2" t="s">
        <v>997</v>
      </c>
      <c r="D92" t="s">
        <v>6140</v>
      </c>
      <c r="E92" s="2">
        <v>4</v>
      </c>
      <c r="F92" s="2" t="str">
        <f>_xlfn.XLOOKUP(orders!C92,customers!$A$1:$A$1001,customers!$B$1:$B$1001,,0)</f>
        <v>Loydie Langlais</v>
      </c>
      <c r="G92" s="2" t="str">
        <f>IF(_xlfn.XLOOKUP(orders!C92,customers!$A$1:$A$1001,customers!$C$1:$C$1001,,0)=0,"",_xlfn.XLOOKUP(orders!C92,customers!$A$1:$A$1001,customers!$C$1:$C$1001,,0))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6">
        <f t="shared" si="3"/>
        <v>51.8</v>
      </c>
      <c r="N92" t="str">
        <f t="shared" si="4"/>
        <v>Arabica</v>
      </c>
      <c r="O92" t="str">
        <f t="shared" si="5"/>
        <v>Light</v>
      </c>
      <c r="P92" t="str">
        <f>_xlfn.XLOOKUP(Orders[[#This Row],[Customer ID]],customers!$A$1:$A$1001,customers!$I$1:$I$1001,,0)</f>
        <v>Yes</v>
      </c>
    </row>
    <row r="93" spans="1:16" x14ac:dyDescent="0.25">
      <c r="A93" s="2" t="s">
        <v>1001</v>
      </c>
      <c r="B93" s="3">
        <v>44137</v>
      </c>
      <c r="C93" s="2" t="s">
        <v>1002</v>
      </c>
      <c r="D93" t="s">
        <v>6175</v>
      </c>
      <c r="E93" s="2">
        <v>4</v>
      </c>
      <c r="F93" s="2" t="str">
        <f>_xlfn.XLOOKUP(orders!C93,customers!$A$1:$A$1001,customers!$B$1:$B$1001,,0)</f>
        <v>Adham Greenhead</v>
      </c>
      <c r="G93" s="2" t="str">
        <f>IF(_xlfn.XLOOKUP(orders!C93,customers!$A$1:$A$1001,customers!$C$1:$C$1001,,0)=0,"",_xlfn.XLOOKUP(orders!C93,customers!$A$1:$A$1001,customers!$C$1:$C$1001,,0))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6">
        <f t="shared" si="3"/>
        <v>103.49999999999999</v>
      </c>
      <c r="N93" t="str">
        <f t="shared" si="4"/>
        <v>Arabica</v>
      </c>
      <c r="O93" t="str">
        <f t="shared" si="5"/>
        <v>Medium</v>
      </c>
      <c r="P93" t="str">
        <f>_xlfn.XLOOKUP(Orders[[#This Row],[Customer ID]],customers!$A$1:$A$1001,customers!$I$1:$I$1001,,0)</f>
        <v>No</v>
      </c>
    </row>
    <row r="94" spans="1:16" x14ac:dyDescent="0.25">
      <c r="A94" s="2" t="s">
        <v>1007</v>
      </c>
      <c r="B94" s="3">
        <v>44037</v>
      </c>
      <c r="C94" s="2" t="s">
        <v>1008</v>
      </c>
      <c r="D94" t="s">
        <v>6171</v>
      </c>
      <c r="E94" s="2">
        <v>3</v>
      </c>
      <c r="F94" s="2" t="str">
        <f>_xlfn.XLOOKUP(orders!C94,customers!$A$1:$A$1001,customers!$B$1:$B$1001,,0)</f>
        <v>Hamish MacSherry</v>
      </c>
      <c r="G94" s="2" t="str">
        <f>IF(_xlfn.XLOOKUP(orders!C94,customers!$A$1:$A$1001,customers!$C$1:$C$1001,,0)=0,"",_xlfn.XLOOKUP(orders!C94,customers!$A$1:$A$1001,customers!$C$1:$C$1001,,0))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6">
        <f t="shared" si="3"/>
        <v>44.55</v>
      </c>
      <c r="N94" t="str">
        <f t="shared" si="4"/>
        <v>Excelsa</v>
      </c>
      <c r="O94" t="str">
        <f t="shared" si="5"/>
        <v>Light</v>
      </c>
      <c r="P94" t="str">
        <f>_xlfn.XLOOKUP(Orders[[#This Row],[Customer ID]],customers!$A$1:$A$1001,customers!$I$1:$I$1001,,0)</f>
        <v>Yes</v>
      </c>
    </row>
    <row r="95" spans="1:16" x14ac:dyDescent="0.25">
      <c r="A95" s="2" t="s">
        <v>1012</v>
      </c>
      <c r="B95" s="3">
        <v>43538</v>
      </c>
      <c r="C95" s="2" t="s">
        <v>1013</v>
      </c>
      <c r="D95" t="s">
        <v>6176</v>
      </c>
      <c r="E95" s="2">
        <v>4</v>
      </c>
      <c r="F95" s="2" t="str">
        <f>_xlfn.XLOOKUP(orders!C95,customers!$A$1:$A$1001,customers!$B$1:$B$1001,,0)</f>
        <v>Else Langcaster</v>
      </c>
      <c r="G95" s="2" t="str">
        <f>IF(_xlfn.XLOOKUP(orders!C95,customers!$A$1:$A$1001,customers!$C$1:$C$1001,,0)=0,"",_xlfn.XLOOKUP(orders!C95,customers!$A$1:$A$1001,customers!$C$1:$C$1001,,0))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6">
        <f t="shared" si="3"/>
        <v>35.64</v>
      </c>
      <c r="N95" t="str">
        <f t="shared" si="4"/>
        <v>Excelsa</v>
      </c>
      <c r="O95" t="str">
        <f t="shared" si="5"/>
        <v>Light</v>
      </c>
      <c r="P95" t="str">
        <f>_xlfn.XLOOKUP(Orders[[#This Row],[Customer ID]],customers!$A$1:$A$1001,customers!$I$1:$I$1001,,0)</f>
        <v>Yes</v>
      </c>
    </row>
    <row r="96" spans="1:16" x14ac:dyDescent="0.25">
      <c r="A96" s="2" t="s">
        <v>1018</v>
      </c>
      <c r="B96" s="3">
        <v>44014</v>
      </c>
      <c r="C96" s="2" t="s">
        <v>1019</v>
      </c>
      <c r="D96" t="s">
        <v>6154</v>
      </c>
      <c r="E96" s="2">
        <v>6</v>
      </c>
      <c r="F96" s="2" t="str">
        <f>_xlfn.XLOOKUP(orders!C96,customers!$A$1:$A$1001,customers!$B$1:$B$1001,,0)</f>
        <v>Rudy Farquharson</v>
      </c>
      <c r="G96" s="2" t="str">
        <f>IF(_xlfn.XLOOKUP(orders!C96,customers!$A$1:$A$1001,customers!$C$1:$C$1001,,0)=0,"",_xlfn.XLOOKUP(orders!C96,customers!$A$1:$A$1001,customers!$C$1:$C$1001,,0))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6">
        <f t="shared" si="3"/>
        <v>17.91</v>
      </c>
      <c r="N96" t="str">
        <f t="shared" si="4"/>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_xlfn.XLOOKUP(orders!C97,customers!$A$1:$A$1001,customers!$B$1:$B$1001,,0)</f>
        <v>Norene Magauran</v>
      </c>
      <c r="G97" s="2" t="str">
        <f>IF(_xlfn.XLOOKUP(orders!C97,customers!$A$1:$A$1001,customers!$C$1:$C$1001,,0)=0,"",_xlfn.XLOOKUP(orders!C97,customers!$A$1:$A$1001,customers!$C$1:$C$1001,,0))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6">
        <f t="shared" si="3"/>
        <v>155.24999999999997</v>
      </c>
      <c r="N97" t="str">
        <f t="shared" si="4"/>
        <v>Arabica</v>
      </c>
      <c r="O97" t="str">
        <f t="shared" si="5"/>
        <v>Medium</v>
      </c>
      <c r="P97" t="str">
        <f>_xlfn.XLOOKUP(Orders[[#This Row],[Customer ID]],customers!$A$1:$A$1001,customers!$I$1:$I$1001,,0)</f>
        <v>No</v>
      </c>
    </row>
    <row r="98" spans="1:16" x14ac:dyDescent="0.25">
      <c r="A98" s="2" t="s">
        <v>1027</v>
      </c>
      <c r="B98" s="3">
        <v>44171</v>
      </c>
      <c r="C98" s="2" t="s">
        <v>1028</v>
      </c>
      <c r="D98" t="s">
        <v>6154</v>
      </c>
      <c r="E98" s="2">
        <v>2</v>
      </c>
      <c r="F98" s="2" t="str">
        <f>_xlfn.XLOOKUP(orders!C98,customers!$A$1:$A$1001,customers!$B$1:$B$1001,,0)</f>
        <v>Vicki Kirdsch</v>
      </c>
      <c r="G98" s="2" t="str">
        <f>IF(_xlfn.XLOOKUP(orders!C98,customers!$A$1:$A$1001,customers!$C$1:$C$1001,,0)=0,"",_xlfn.XLOOKUP(orders!C98,customers!$A$1:$A$1001,customers!$C$1:$C$1001,,0))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6">
        <f t="shared" si="3"/>
        <v>5.97</v>
      </c>
      <c r="N98" t="str">
        <f t="shared" si="4"/>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_xlfn.XLOOKUP(orders!C99,customers!$A$1:$A$1001,customers!$B$1:$B$1001,,0)</f>
        <v>Ilysa Whapple</v>
      </c>
      <c r="G99" s="2" t="str">
        <f>IF(_xlfn.XLOOKUP(orders!C99,customers!$A$1:$A$1001,customers!$C$1:$C$1001,,0)=0,"",_xlfn.XLOOKUP(orders!C99,customers!$A$1:$A$1001,customers!$C$1:$C$1001,,0))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6">
        <f t="shared" si="3"/>
        <v>13.5</v>
      </c>
      <c r="N99" t="str">
        <f t="shared" si="4"/>
        <v>Arabica</v>
      </c>
      <c r="O99"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f>_xlfn.XLOOKUP(orders!C100,customers!$A$1:$A$1001,customers!$B$1:$B$1001,,0)</f>
        <v>Ruy Cancellieri</v>
      </c>
      <c r="G100" s="2" t="str">
        <f>IF(_xlfn.XLOOKUP(orders!C100,customers!$A$1:$A$1001,customers!$C$1:$C$1001,,0)=0,"",_xlfn.XLOOKUP(orders!C100,customers!$A$1:$A$1001,customers!$C$1:$C$1001,,0))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6">
        <f t="shared" si="3"/>
        <v>2.9849999999999999</v>
      </c>
      <c r="N100" t="str">
        <f t="shared" si="4"/>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_xlfn.XLOOKUP(orders!C101,customers!$A$1:$A$1001,customers!$B$1:$B$1001,,0)</f>
        <v>Aube Follett</v>
      </c>
      <c r="G101" s="2" t="str">
        <f>IF(_xlfn.XLOOKUP(orders!C101,customers!$A$1:$A$1001,customers!$C$1:$C$1001,,0)=0,"",_xlfn.XLOOKUP(orders!C101,customers!$A$1:$A$1001,customers!$C$1:$C$1001,,0))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6">
        <f t="shared" si="3"/>
        <v>13.095000000000001</v>
      </c>
      <c r="N101" t="str">
        <f t="shared" si="4"/>
        <v>Liberica</v>
      </c>
      <c r="O101"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f>_xlfn.XLOOKUP(orders!C102,customers!$A$1:$A$1001,customers!$B$1:$B$1001,,0)</f>
        <v>Rudiger Di Bartolomeo</v>
      </c>
      <c r="G102" s="2" t="str">
        <f>IF(_xlfn.XLOOKUP(orders!C102,customers!$A$1:$A$1001,customers!$C$1:$C$1001,,0)=0,"",_xlfn.XLOOKUP(orders!C102,customers!$A$1:$A$1001,customers!$C$1:$C$1001,,0))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6">
        <f t="shared" si="3"/>
        <v>7.77</v>
      </c>
      <c r="N102" t="str">
        <f t="shared" si="4"/>
        <v>Arabica</v>
      </c>
      <c r="O10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f>_xlfn.XLOOKUP(orders!C103,customers!$A$1:$A$1001,customers!$B$1:$B$1001,,0)</f>
        <v>Nickey Youles</v>
      </c>
      <c r="G103" s="2" t="str">
        <f>IF(_xlfn.XLOOKUP(orders!C103,customers!$A$1:$A$1001,customers!$C$1:$C$1001,,0)=0,"",_xlfn.XLOOKUP(orders!C103,customers!$A$1:$A$1001,customers!$C$1:$C$1001,,0))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6">
        <f t="shared" si="3"/>
        <v>148.92499999999998</v>
      </c>
      <c r="N103" t="str">
        <f t="shared" si="4"/>
        <v>Liberica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_xlfn.XLOOKUP(orders!C104,customers!$A$1:$A$1001,customers!$B$1:$B$1001,,0)</f>
        <v>Dyanna Aizikovitz</v>
      </c>
      <c r="G104" s="2" t="str">
        <f>IF(_xlfn.XLOOKUP(orders!C104,customers!$A$1:$A$1001,customers!$C$1:$C$1001,,0)=0,"",_xlfn.XLOOKUP(orders!C104,customers!$A$1:$A$1001,customers!$C$1:$C$1001,,0))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6">
        <f t="shared" si="3"/>
        <v>38.849999999999994</v>
      </c>
      <c r="N104" t="str">
        <f t="shared" si="4"/>
        <v>Liberica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_xlfn.XLOOKUP(orders!C105,customers!$A$1:$A$1001,customers!$B$1:$B$1001,,0)</f>
        <v>Bram Revel</v>
      </c>
      <c r="G105" s="2" t="str">
        <f>IF(_xlfn.XLOOKUP(orders!C105,customers!$A$1:$A$1001,customers!$C$1:$C$1001,,0)=0,"",_xlfn.XLOOKUP(orders!C105,customers!$A$1:$A$1001,customers!$C$1:$C$1001,,0))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6">
        <f t="shared" si="3"/>
        <v>11.94</v>
      </c>
      <c r="N105" t="str">
        <f t="shared" si="4"/>
        <v>Robusta</v>
      </c>
      <c r="O105"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f>_xlfn.XLOOKUP(orders!C106,customers!$A$1:$A$1001,customers!$B$1:$B$1001,,0)</f>
        <v>Emiline Priddis</v>
      </c>
      <c r="G106" s="2" t="str">
        <f>IF(_xlfn.XLOOKUP(orders!C106,customers!$A$1:$A$1001,customers!$C$1:$C$1001,,0)=0,"",_xlfn.XLOOKUP(orders!C106,customers!$A$1:$A$1001,customers!$C$1:$C$1001,,0))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6">
        <f t="shared" si="3"/>
        <v>87.300000000000011</v>
      </c>
      <c r="N106" t="str">
        <f t="shared" si="4"/>
        <v>Liberica</v>
      </c>
      <c r="O106"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f>_xlfn.XLOOKUP(orders!C107,customers!$A$1:$A$1001,customers!$B$1:$B$1001,,0)</f>
        <v>Queenie Veel</v>
      </c>
      <c r="G107" s="2" t="str">
        <f>IF(_xlfn.XLOOKUP(orders!C107,customers!$A$1:$A$1001,customers!$C$1:$C$1001,,0)=0,"",_xlfn.XLOOKUP(orders!C107,customers!$A$1:$A$1001,customers!$C$1:$C$1001,,0))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6">
        <f t="shared" si="3"/>
        <v>40.5</v>
      </c>
      <c r="N107" t="str">
        <f t="shared" si="4"/>
        <v>Arabica</v>
      </c>
      <c r="O107"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f>_xlfn.XLOOKUP(orders!C108,customers!$A$1:$A$1001,customers!$B$1:$B$1001,,0)</f>
        <v>Lind Conyers</v>
      </c>
      <c r="G108" s="2" t="str">
        <f>IF(_xlfn.XLOOKUP(orders!C108,customers!$A$1:$A$1001,customers!$C$1:$C$1001,,0)=0,"",_xlfn.XLOOKUP(orders!C108,customers!$A$1:$A$1001,customers!$C$1:$C$1001,,0))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6">
        <f t="shared" si="3"/>
        <v>24.3</v>
      </c>
      <c r="N108" t="str">
        <f t="shared" si="4"/>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_xlfn.XLOOKUP(orders!C109,customers!$A$1:$A$1001,customers!$B$1:$B$1001,,0)</f>
        <v>Pen Wye</v>
      </c>
      <c r="G109" s="2" t="str">
        <f>IF(_xlfn.XLOOKUP(orders!C109,customers!$A$1:$A$1001,customers!$C$1:$C$1001,,0)=0,"",_xlfn.XLOOKUP(orders!C109,customers!$A$1:$A$1001,customers!$C$1:$C$1001,,0))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6">
        <f t="shared" si="3"/>
        <v>17.91</v>
      </c>
      <c r="N109" t="str">
        <f t="shared" si="4"/>
        <v>Robusta</v>
      </c>
      <c r="O109"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f>_xlfn.XLOOKUP(orders!C110,customers!$A$1:$A$1001,customers!$B$1:$B$1001,,0)</f>
        <v>Isahella Hagland</v>
      </c>
      <c r="G110" s="2" t="str">
        <f>IF(_xlfn.XLOOKUP(orders!C110,customers!$A$1:$A$1001,customers!$C$1:$C$1001,,0)=0,"",_xlfn.XLOOKUP(orders!C110,customers!$A$1:$A$1001,customers!$C$1:$C$1001,,0))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6">
        <f t="shared" si="3"/>
        <v>27</v>
      </c>
      <c r="N110" t="str">
        <f t="shared" si="4"/>
        <v>Arabica</v>
      </c>
      <c r="O110"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f>_xlfn.XLOOKUP(orders!C111,customers!$A$1:$A$1001,customers!$B$1:$B$1001,,0)</f>
        <v>Terry Sheryn</v>
      </c>
      <c r="G111" s="2" t="str">
        <f>IF(_xlfn.XLOOKUP(orders!C111,customers!$A$1:$A$1001,customers!$C$1:$C$1001,,0)=0,"",_xlfn.XLOOKUP(orders!C111,customers!$A$1:$A$1001,customers!$C$1:$C$1001,,0))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6">
        <f t="shared" si="3"/>
        <v>7.77</v>
      </c>
      <c r="N111" t="str">
        <f t="shared" si="4"/>
        <v>Liberica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_xlfn.XLOOKUP(orders!C112,customers!$A$1:$A$1001,customers!$B$1:$B$1001,,0)</f>
        <v>Marie-jeanne Redgrave</v>
      </c>
      <c r="G112" s="2" t="str">
        <f>IF(_xlfn.XLOOKUP(orders!C112,customers!$A$1:$A$1001,customers!$C$1:$C$1001,,0)=0,"",_xlfn.XLOOKUP(orders!C112,customers!$A$1:$A$1001,customers!$C$1:$C$1001,,0))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6">
        <f t="shared" si="3"/>
        <v>13.365</v>
      </c>
      <c r="N112" t="str">
        <f t="shared" si="4"/>
        <v>Excelsa</v>
      </c>
      <c r="O11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f>_xlfn.XLOOKUP(orders!C113,customers!$A$1:$A$1001,customers!$B$1:$B$1001,,0)</f>
        <v>Betty Fominov</v>
      </c>
      <c r="G113" s="2" t="str">
        <f>IF(_xlfn.XLOOKUP(orders!C113,customers!$A$1:$A$1001,customers!$C$1:$C$1001,,0)=0,"",_xlfn.XLOOKUP(orders!C113,customers!$A$1:$A$1001,customers!$C$1:$C$1001,,0))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6">
        <f t="shared" si="3"/>
        <v>26.849999999999994</v>
      </c>
      <c r="N113" t="str">
        <f t="shared" si="4"/>
        <v>Robusta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_xlfn.XLOOKUP(orders!C114,customers!$A$1:$A$1001,customers!$B$1:$B$1001,,0)</f>
        <v>Shawnee Critchlow</v>
      </c>
      <c r="G114" s="2" t="str">
        <f>IF(_xlfn.XLOOKUP(orders!C114,customers!$A$1:$A$1001,customers!$C$1:$C$1001,,0)=0,"",_xlfn.XLOOKUP(orders!C114,customers!$A$1:$A$1001,customers!$C$1:$C$1001,,0))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6">
        <f t="shared" si="3"/>
        <v>11.25</v>
      </c>
      <c r="N114" t="str">
        <f t="shared" si="4"/>
        <v>Arabica</v>
      </c>
      <c r="O114"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f>_xlfn.XLOOKUP(orders!C115,customers!$A$1:$A$1001,customers!$B$1:$B$1001,,0)</f>
        <v>Merrel Steptow</v>
      </c>
      <c r="G115" s="2" t="str">
        <f>IF(_xlfn.XLOOKUP(orders!C115,customers!$A$1:$A$1001,customers!$C$1:$C$1001,,0)=0,"",_xlfn.XLOOKUP(orders!C115,customers!$A$1:$A$1001,customers!$C$1:$C$1001,,0))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6">
        <f t="shared" si="3"/>
        <v>14.55</v>
      </c>
      <c r="N115" t="str">
        <f t="shared" si="4"/>
        <v>Liberica</v>
      </c>
      <c r="O115"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f>_xlfn.XLOOKUP(orders!C116,customers!$A$1:$A$1001,customers!$B$1:$B$1001,,0)</f>
        <v>Carmina Hubbuck</v>
      </c>
      <c r="G116" s="2" t="str">
        <f>IF(_xlfn.XLOOKUP(orders!C116,customers!$A$1:$A$1001,customers!$C$1:$C$1001,,0)=0,"",_xlfn.XLOOKUP(orders!C116,customers!$A$1:$A$1001,customers!$C$1:$C$1001,,0))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6">
        <f t="shared" si="3"/>
        <v>14.339999999999998</v>
      </c>
      <c r="N116" t="str">
        <f t="shared" si="4"/>
        <v>Robusta</v>
      </c>
      <c r="O116"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f>_xlfn.XLOOKUP(orders!C117,customers!$A$1:$A$1001,customers!$B$1:$B$1001,,0)</f>
        <v>Ingeberg Mulliner</v>
      </c>
      <c r="G117" s="2" t="str">
        <f>IF(_xlfn.XLOOKUP(orders!C117,customers!$A$1:$A$1001,customers!$C$1:$C$1001,,0)=0,"",_xlfn.XLOOKUP(orders!C117,customers!$A$1:$A$1001,customers!$C$1:$C$1001,,0))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6">
        <f t="shared" si="3"/>
        <v>15.85</v>
      </c>
      <c r="N117" t="str">
        <f t="shared" si="4"/>
        <v>Liberica</v>
      </c>
      <c r="O117"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f>_xlfn.XLOOKUP(orders!C118,customers!$A$1:$A$1001,customers!$B$1:$B$1001,,0)</f>
        <v>Geneva Standley</v>
      </c>
      <c r="G118" s="2" t="str">
        <f>IF(_xlfn.XLOOKUP(orders!C118,customers!$A$1:$A$1001,customers!$C$1:$C$1001,,0)=0,"",_xlfn.XLOOKUP(orders!C118,customers!$A$1:$A$1001,customers!$C$1:$C$1001,,0))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6">
        <f t="shared" si="3"/>
        <v>19.02</v>
      </c>
      <c r="N118" t="str">
        <f t="shared" si="4"/>
        <v>Liberica</v>
      </c>
      <c r="O118"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f>_xlfn.XLOOKUP(orders!C119,customers!$A$1:$A$1001,customers!$B$1:$B$1001,,0)</f>
        <v>Brook Drage</v>
      </c>
      <c r="G119" s="2" t="str">
        <f>IF(_xlfn.XLOOKUP(orders!C119,customers!$A$1:$A$1001,customers!$C$1:$C$1001,,0)=0,"",_xlfn.XLOOKUP(orders!C119,customers!$A$1:$A$1001,customers!$C$1:$C$1001,,0))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6">
        <f t="shared" si="3"/>
        <v>38.04</v>
      </c>
      <c r="N119" t="str">
        <f t="shared" si="4"/>
        <v>Liberica</v>
      </c>
      <c r="O119"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f>_xlfn.XLOOKUP(orders!C120,customers!$A$1:$A$1001,customers!$B$1:$B$1001,,0)</f>
        <v>Muffin Yallop</v>
      </c>
      <c r="G120" s="2" t="str">
        <f>IF(_xlfn.XLOOKUP(orders!C120,customers!$A$1:$A$1001,customers!$C$1:$C$1001,,0)=0,"",_xlfn.XLOOKUP(orders!C120,customers!$A$1:$A$1001,customers!$C$1:$C$1001,,0))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6">
        <f t="shared" si="3"/>
        <v>21.87</v>
      </c>
      <c r="N120" t="str">
        <f t="shared" si="4"/>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_xlfn.XLOOKUP(orders!C121,customers!$A$1:$A$1001,customers!$B$1:$B$1001,,0)</f>
        <v>Cordi Switsur</v>
      </c>
      <c r="G121" s="2" t="str">
        <f>IF(_xlfn.XLOOKUP(orders!C121,customers!$A$1:$A$1001,customers!$C$1:$C$1001,,0)=0,"",_xlfn.XLOOKUP(orders!C121,customers!$A$1:$A$1001,customers!$C$1:$C$1001,,0))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6">
        <f t="shared" si="3"/>
        <v>4.125</v>
      </c>
      <c r="N121" t="str">
        <f t="shared" si="4"/>
        <v>Excelsa</v>
      </c>
      <c r="O121"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f>_xlfn.XLOOKUP(orders!C122,customers!$A$1:$A$1001,customers!$B$1:$B$1001,,0)</f>
        <v>Cordi Switsur</v>
      </c>
      <c r="G122" s="2" t="str">
        <f>IF(_xlfn.XLOOKUP(orders!C122,customers!$A$1:$A$1001,customers!$C$1:$C$1001,,0)=0,"",_xlfn.XLOOKUP(orders!C122,customers!$A$1:$A$1001,customers!$C$1:$C$1001,,0))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6">
        <f t="shared" si="3"/>
        <v>3.8849999999999998</v>
      </c>
      <c r="N122" t="str">
        <f t="shared" si="4"/>
        <v>Arabica</v>
      </c>
      <c r="O12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f>_xlfn.XLOOKUP(orders!C123,customers!$A$1:$A$1001,customers!$B$1:$B$1001,,0)</f>
        <v>Cordi Switsur</v>
      </c>
      <c r="G123" s="2" t="str">
        <f>IF(_xlfn.XLOOKUP(orders!C123,customers!$A$1:$A$1001,customers!$C$1:$C$1001,,0)=0,"",_xlfn.XLOOKUP(orders!C123,customers!$A$1:$A$1001,customers!$C$1:$C$1001,,0))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6">
        <f t="shared" si="3"/>
        <v>68.75</v>
      </c>
      <c r="N123" t="str">
        <f t="shared" si="4"/>
        <v>Excelsa</v>
      </c>
      <c r="O123"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f>_xlfn.XLOOKUP(orders!C124,customers!$A$1:$A$1001,customers!$B$1:$B$1001,,0)</f>
        <v>Mahala Ludwell</v>
      </c>
      <c r="G124" s="2" t="str">
        <f>IF(_xlfn.XLOOKUP(orders!C124,customers!$A$1:$A$1001,customers!$C$1:$C$1001,,0)=0,"",_xlfn.XLOOKUP(orders!C124,customers!$A$1:$A$1001,customers!$C$1:$C$1001,,0))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6">
        <f t="shared" si="3"/>
        <v>23.88</v>
      </c>
      <c r="N124" t="str">
        <f t="shared" si="4"/>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_xlfn.XLOOKUP(orders!C125,customers!$A$1:$A$1001,customers!$B$1:$B$1001,,0)</f>
        <v>Doll Beauchamp</v>
      </c>
      <c r="G125" s="2" t="str">
        <f>IF(_xlfn.XLOOKUP(orders!C125,customers!$A$1:$A$1001,customers!$C$1:$C$1001,,0)=0,"",_xlfn.XLOOKUP(orders!C125,customers!$A$1:$A$1001,customers!$C$1:$C$1001,,0))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6">
        <f t="shared" si="3"/>
        <v>145.82</v>
      </c>
      <c r="N125" t="str">
        <f t="shared" si="4"/>
        <v>Liberica</v>
      </c>
      <c r="O125"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f>_xlfn.XLOOKUP(orders!C126,customers!$A$1:$A$1001,customers!$B$1:$B$1001,,0)</f>
        <v>Stanford Rodliff</v>
      </c>
      <c r="G126" s="2" t="str">
        <f>IF(_xlfn.XLOOKUP(orders!C126,customers!$A$1:$A$1001,customers!$C$1:$C$1001,,0)=0,"",_xlfn.XLOOKUP(orders!C126,customers!$A$1:$A$1001,customers!$C$1:$C$1001,,0))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6">
        <f t="shared" si="3"/>
        <v>21.825000000000003</v>
      </c>
      <c r="N126" t="str">
        <f t="shared" si="4"/>
        <v>Liberica</v>
      </c>
      <c r="O126"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f>_xlfn.XLOOKUP(orders!C127,customers!$A$1:$A$1001,customers!$B$1:$B$1001,,0)</f>
        <v>Stevana Woodham</v>
      </c>
      <c r="G127" s="2" t="str">
        <f>IF(_xlfn.XLOOKUP(orders!C127,customers!$A$1:$A$1001,customers!$C$1:$C$1001,,0)=0,"",_xlfn.XLOOKUP(orders!C127,customers!$A$1:$A$1001,customers!$C$1:$C$1001,,0))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6">
        <f t="shared" si="3"/>
        <v>26.19</v>
      </c>
      <c r="N127" t="str">
        <f t="shared" si="4"/>
        <v>Liberica</v>
      </c>
      <c r="O127"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f>_xlfn.XLOOKUP(orders!C128,customers!$A$1:$A$1001,customers!$B$1:$B$1001,,0)</f>
        <v>Hewet Synnot</v>
      </c>
      <c r="G128" s="2" t="str">
        <f>IF(_xlfn.XLOOKUP(orders!C128,customers!$A$1:$A$1001,customers!$C$1:$C$1001,,0)=0,"",_xlfn.XLOOKUP(orders!C128,customers!$A$1:$A$1001,customers!$C$1:$C$1001,,0))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6">
        <f t="shared" si="3"/>
        <v>11.25</v>
      </c>
      <c r="N128" t="str">
        <f t="shared" si="4"/>
        <v>Arabica</v>
      </c>
      <c r="O128"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f>_xlfn.XLOOKUP(orders!C129,customers!$A$1:$A$1001,customers!$B$1:$B$1001,,0)</f>
        <v>Raleigh Lepere</v>
      </c>
      <c r="G129" s="2" t="str">
        <f>IF(_xlfn.XLOOKUP(orders!C129,customers!$A$1:$A$1001,customers!$C$1:$C$1001,,0)=0,"",_xlfn.XLOOKUP(orders!C129,customers!$A$1:$A$1001,customers!$C$1:$C$1001,,0))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6">
        <f t="shared" si="3"/>
        <v>77.699999999999989</v>
      </c>
      <c r="N129" t="str">
        <f t="shared" si="4"/>
        <v>Liberica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_xlfn.XLOOKUP(orders!C130,customers!$A$1:$A$1001,customers!$B$1:$B$1001,,0)</f>
        <v>Timofei Woofinden</v>
      </c>
      <c r="G130" s="2" t="str">
        <f>IF(_xlfn.XLOOKUP(orders!C130,customers!$A$1:$A$1001,customers!$C$1:$C$1001,,0)=0,"",_xlfn.XLOOKUP(orders!C130,customers!$A$1:$A$1001,customers!$C$1:$C$1001,,0))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6">
        <f t="shared" si="3"/>
        <v>6.75</v>
      </c>
      <c r="N130" t="str">
        <f t="shared" si="4"/>
        <v>Arabica</v>
      </c>
      <c r="O130"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f>_xlfn.XLOOKUP(orders!C131,customers!$A$1:$A$1001,customers!$B$1:$B$1001,,0)</f>
        <v>Evelina Dacca</v>
      </c>
      <c r="G131" s="2" t="str">
        <f>IF(_xlfn.XLOOKUP(orders!C131,customers!$A$1:$A$1001,customers!$C$1:$C$1001,,0)=0,"",_xlfn.XLOOKUP(orders!C131,customers!$A$1:$A$1001,customers!$C$1:$C$1001,,0))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6">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_xlfn.XLOOKUP(orders!C132,customers!$A$1:$A$1001,customers!$B$1:$B$1001,,0)</f>
        <v>Bidget Tremellier</v>
      </c>
      <c r="G132" s="2" t="str">
        <f>IF(_xlfn.XLOOKUP(orders!C132,customers!$A$1:$A$1001,customers!$C$1:$C$1001,,0)=0,"",_xlfn.XLOOKUP(orders!C132,customers!$A$1:$A$1001,customers!$C$1:$C$1001,,0))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6">
        <f t="shared" si="6"/>
        <v>148.92499999999998</v>
      </c>
      <c r="N132" t="str">
        <f t="shared" si="7"/>
        <v>Arabica</v>
      </c>
      <c r="O13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f>_xlfn.XLOOKUP(orders!C133,customers!$A$1:$A$1001,customers!$B$1:$B$1001,,0)</f>
        <v>Bobinette Hindsberg</v>
      </c>
      <c r="G133" s="2" t="str">
        <f>IF(_xlfn.XLOOKUP(orders!C133,customers!$A$1:$A$1001,customers!$C$1:$C$1001,,0)=0,"",_xlfn.XLOOKUP(orders!C133,customers!$A$1:$A$1001,customers!$C$1:$C$1001,,0))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6">
        <f t="shared" si="6"/>
        <v>14.58</v>
      </c>
      <c r="N133" t="str">
        <f t="shared" si="7"/>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_xlfn.XLOOKUP(orders!C134,customers!$A$1:$A$1001,customers!$B$1:$B$1001,,0)</f>
        <v>Osbert Robins</v>
      </c>
      <c r="G134" s="2" t="str">
        <f>IF(_xlfn.XLOOKUP(orders!C134,customers!$A$1:$A$1001,customers!$C$1:$C$1001,,0)=0,"",_xlfn.XLOOKUP(orders!C134,customers!$A$1:$A$1001,customers!$C$1:$C$1001,,0))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6">
        <f t="shared" si="6"/>
        <v>148.92499999999998</v>
      </c>
      <c r="N134" t="str">
        <f t="shared" si="7"/>
        <v>Arabica</v>
      </c>
      <c r="O134"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f>_xlfn.XLOOKUP(orders!C135,customers!$A$1:$A$1001,customers!$B$1:$B$1001,,0)</f>
        <v>Othello Syseland</v>
      </c>
      <c r="G135" s="2" t="str">
        <f>IF(_xlfn.XLOOKUP(orders!C135,customers!$A$1:$A$1001,customers!$C$1:$C$1001,,0)=0,"",_xlfn.XLOOKUP(orders!C135,customers!$A$1:$A$1001,customers!$C$1:$C$1001,,0))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6">
        <f t="shared" si="6"/>
        <v>12.95</v>
      </c>
      <c r="N135" t="str">
        <f t="shared" si="7"/>
        <v>Liberica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_xlfn.XLOOKUP(orders!C136,customers!$A$1:$A$1001,customers!$B$1:$B$1001,,0)</f>
        <v>Ewell Hanby</v>
      </c>
      <c r="G136" s="2" t="str">
        <f>IF(_xlfn.XLOOKUP(orders!C136,customers!$A$1:$A$1001,customers!$C$1:$C$1001,,0)=0,"",_xlfn.XLOOKUP(orders!C136,customers!$A$1:$A$1001,customers!$C$1:$C$1001,,0))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6">
        <f t="shared" si="6"/>
        <v>94.874999999999986</v>
      </c>
      <c r="N136" t="str">
        <f t="shared" si="7"/>
        <v>Excelsa</v>
      </c>
      <c r="O136"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f>_xlfn.XLOOKUP(orders!C137,customers!$A$1:$A$1001,customers!$B$1:$B$1001,,0)</f>
        <v>Blancha McAmish</v>
      </c>
      <c r="G137" s="2" t="str">
        <f>IF(_xlfn.XLOOKUP(orders!C137,customers!$A$1:$A$1001,customers!$C$1:$C$1001,,0)=0,"",_xlfn.XLOOKUP(orders!C137,customers!$A$1:$A$1001,customers!$C$1:$C$1001,,0))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6">
        <f t="shared" si="6"/>
        <v>38.849999999999994</v>
      </c>
      <c r="N137" t="str">
        <f t="shared" si="7"/>
        <v>Arabica</v>
      </c>
      <c r="O137"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f>_xlfn.XLOOKUP(orders!C138,customers!$A$1:$A$1001,customers!$B$1:$B$1001,,0)</f>
        <v>Lowell Keenleyside</v>
      </c>
      <c r="G138" s="2" t="str">
        <f>IF(_xlfn.XLOOKUP(orders!C138,customers!$A$1:$A$1001,customers!$C$1:$C$1001,,0)=0,"",_xlfn.XLOOKUP(orders!C138,customers!$A$1:$A$1001,customers!$C$1:$C$1001,,0))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6">
        <f t="shared" si="6"/>
        <v>11.94</v>
      </c>
      <c r="N138" t="str">
        <f t="shared" si="7"/>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_xlfn.XLOOKUP(orders!C139,customers!$A$1:$A$1001,customers!$B$1:$B$1001,,0)</f>
        <v>Elonore Joliffe</v>
      </c>
      <c r="G139" s="2" t="str">
        <f>IF(_xlfn.XLOOKUP(orders!C139,customers!$A$1:$A$1001,customers!$C$1:$C$1001,,0)=0,"",_xlfn.XLOOKUP(orders!C139,customers!$A$1:$A$1001,customers!$C$1:$C$1001,,0))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6">
        <f t="shared" si="6"/>
        <v>102.46499999999997</v>
      </c>
      <c r="N139" t="str">
        <f t="shared" si="7"/>
        <v>Excelsa</v>
      </c>
      <c r="O139"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f>_xlfn.XLOOKUP(orders!C140,customers!$A$1:$A$1001,customers!$B$1:$B$1001,,0)</f>
        <v>Abraham Coleman</v>
      </c>
      <c r="G140" s="2" t="str">
        <f>IF(_xlfn.XLOOKUP(orders!C140,customers!$A$1:$A$1001,customers!$C$1:$C$1001,,0)=0,"",_xlfn.XLOOKUP(orders!C140,customers!$A$1:$A$1001,customers!$C$1:$C$1001,,0))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6">
        <f t="shared" si="6"/>
        <v>48.6</v>
      </c>
      <c r="N140" t="str">
        <f t="shared" si="7"/>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_xlfn.XLOOKUP(orders!C141,customers!$A$1:$A$1001,customers!$B$1:$B$1001,,0)</f>
        <v>Rivy Farington</v>
      </c>
      <c r="G141" s="2" t="str">
        <f>IF(_xlfn.XLOOKUP(orders!C141,customers!$A$1:$A$1001,customers!$C$1:$C$1001,,0)=0,"",_xlfn.XLOOKUP(orders!C141,customers!$A$1:$A$1001,customers!$C$1:$C$1001,,0))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6">
        <f t="shared" si="6"/>
        <v>77.699999999999989</v>
      </c>
      <c r="N141" t="str">
        <f t="shared" si="7"/>
        <v>Liberica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_xlfn.XLOOKUP(orders!C142,customers!$A$1:$A$1001,customers!$B$1:$B$1001,,0)</f>
        <v>Vallie Kundt</v>
      </c>
      <c r="G142" s="2" t="str">
        <f>IF(_xlfn.XLOOKUP(orders!C142,customers!$A$1:$A$1001,customers!$C$1:$C$1001,,0)=0,"",_xlfn.XLOOKUP(orders!C142,customers!$A$1:$A$1001,customers!$C$1:$C$1001,,0))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6">
        <f t="shared" si="6"/>
        <v>29.784999999999997</v>
      </c>
      <c r="N142" t="str">
        <f t="shared" si="7"/>
        <v>Liberica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_xlfn.XLOOKUP(orders!C143,customers!$A$1:$A$1001,customers!$B$1:$B$1001,,0)</f>
        <v>Boyd Bett</v>
      </c>
      <c r="G143" s="2" t="str">
        <f>IF(_xlfn.XLOOKUP(orders!C143,customers!$A$1:$A$1001,customers!$C$1:$C$1001,,0)=0,"",_xlfn.XLOOKUP(orders!C143,customers!$A$1:$A$1001,customers!$C$1:$C$1001,,0))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6">
        <f t="shared" si="6"/>
        <v>15.54</v>
      </c>
      <c r="N143" t="str">
        <f t="shared" si="7"/>
        <v>Arabica</v>
      </c>
      <c r="O143"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f>_xlfn.XLOOKUP(orders!C144,customers!$A$1:$A$1001,customers!$B$1:$B$1001,,0)</f>
        <v>Julio Armytage</v>
      </c>
      <c r="G144" s="2" t="str">
        <f>IF(_xlfn.XLOOKUP(orders!C144,customers!$A$1:$A$1001,customers!$C$1:$C$1001,,0)=0,"",_xlfn.XLOOKUP(orders!C144,customers!$A$1:$A$1001,customers!$C$1:$C$1001,,0))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6">
        <f t="shared" si="6"/>
        <v>136.61999999999998</v>
      </c>
      <c r="N144" t="str">
        <f t="shared" si="7"/>
        <v>Excelsa</v>
      </c>
      <c r="O144"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f>_xlfn.XLOOKUP(orders!C145,customers!$A$1:$A$1001,customers!$B$1:$B$1001,,0)</f>
        <v>Deana Staite</v>
      </c>
      <c r="G145" s="2" t="str">
        <f>IF(_xlfn.XLOOKUP(orders!C145,customers!$A$1:$A$1001,customers!$C$1:$C$1001,,0)=0,"",_xlfn.XLOOKUP(orders!C145,customers!$A$1:$A$1001,customers!$C$1:$C$1001,,0))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6">
        <f t="shared" si="6"/>
        <v>17.46</v>
      </c>
      <c r="N145" t="str">
        <f t="shared" si="7"/>
        <v>Liberica</v>
      </c>
      <c r="O145"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f>_xlfn.XLOOKUP(orders!C146,customers!$A$1:$A$1001,customers!$B$1:$B$1001,,0)</f>
        <v>Winn Keyse</v>
      </c>
      <c r="G146" s="2" t="str">
        <f>IF(_xlfn.XLOOKUP(orders!C146,customers!$A$1:$A$1001,customers!$C$1:$C$1001,,0)=0,"",_xlfn.XLOOKUP(orders!C146,customers!$A$1:$A$1001,customers!$C$1:$C$1001,,0))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6">
        <f t="shared" si="6"/>
        <v>68.309999999999988</v>
      </c>
      <c r="N146" t="str">
        <f t="shared" si="7"/>
        <v>Excelsa</v>
      </c>
      <c r="O146"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f>_xlfn.XLOOKUP(orders!C147,customers!$A$1:$A$1001,customers!$B$1:$B$1001,,0)</f>
        <v>Osmund Clausen-Thue</v>
      </c>
      <c r="G147" s="2" t="str">
        <f>IF(_xlfn.XLOOKUP(orders!C147,customers!$A$1:$A$1001,customers!$C$1:$C$1001,,0)=0,"",_xlfn.XLOOKUP(orders!C147,customers!$A$1:$A$1001,customers!$C$1:$C$1001,,0))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6">
        <f t="shared" si="6"/>
        <v>17.46</v>
      </c>
      <c r="N147" t="str">
        <f t="shared" si="7"/>
        <v>Liberica</v>
      </c>
      <c r="O147"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f>_xlfn.XLOOKUP(orders!C148,customers!$A$1:$A$1001,customers!$B$1:$B$1001,,0)</f>
        <v>Leonore Francisco</v>
      </c>
      <c r="G148" s="2" t="str">
        <f>IF(_xlfn.XLOOKUP(orders!C148,customers!$A$1:$A$1001,customers!$C$1:$C$1001,,0)=0,"",_xlfn.XLOOKUP(orders!C148,customers!$A$1:$A$1001,customers!$C$1:$C$1001,,0))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6">
        <f t="shared" si="6"/>
        <v>43.650000000000006</v>
      </c>
      <c r="N148" t="str">
        <f t="shared" si="7"/>
        <v>Liberica</v>
      </c>
      <c r="O148"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f>_xlfn.XLOOKUP(orders!C149,customers!$A$1:$A$1001,customers!$B$1:$B$1001,,0)</f>
        <v>Leonore Francisco</v>
      </c>
      <c r="G149" s="2" t="str">
        <f>IF(_xlfn.XLOOKUP(orders!C149,customers!$A$1:$A$1001,customers!$C$1:$C$1001,,0)=0,"",_xlfn.XLOOKUP(orders!C149,customers!$A$1:$A$1001,customers!$C$1:$C$1001,,0))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6">
        <f t="shared" si="6"/>
        <v>27.5</v>
      </c>
      <c r="N149" t="str">
        <f t="shared" si="7"/>
        <v>Excelsa</v>
      </c>
      <c r="O149"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f>_xlfn.XLOOKUP(orders!C150,customers!$A$1:$A$1001,customers!$B$1:$B$1001,,0)</f>
        <v>Giacobo Skingle</v>
      </c>
      <c r="G150" s="2" t="str">
        <f>IF(_xlfn.XLOOKUP(orders!C150,customers!$A$1:$A$1001,customers!$C$1:$C$1001,,0)=0,"",_xlfn.XLOOKUP(orders!C150,customers!$A$1:$A$1001,customers!$C$1:$C$1001,,0))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6">
        <f t="shared" si="6"/>
        <v>18.225000000000001</v>
      </c>
      <c r="N150" t="str">
        <f t="shared" si="7"/>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_xlfn.XLOOKUP(orders!C151,customers!$A$1:$A$1001,customers!$B$1:$B$1001,,0)</f>
        <v>Gerard Pirdy</v>
      </c>
      <c r="G151" s="2" t="str">
        <f>IF(_xlfn.XLOOKUP(orders!C151,customers!$A$1:$A$1001,customers!$C$1:$C$1001,,0)=0,"",_xlfn.XLOOKUP(orders!C151,customers!$A$1:$A$1001,customers!$C$1:$C$1001,,0))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6">
        <f t="shared" si="6"/>
        <v>51.749999999999993</v>
      </c>
      <c r="N151" t="str">
        <f t="shared" si="7"/>
        <v>Arabica</v>
      </c>
      <c r="O151"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f>_xlfn.XLOOKUP(orders!C152,customers!$A$1:$A$1001,customers!$B$1:$B$1001,,0)</f>
        <v>Jacinthe Balsillie</v>
      </c>
      <c r="G152" s="2" t="str">
        <f>IF(_xlfn.XLOOKUP(orders!C152,customers!$A$1:$A$1001,customers!$C$1:$C$1001,,0)=0,"",_xlfn.XLOOKUP(orders!C152,customers!$A$1:$A$1001,customers!$C$1:$C$1001,,0))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6">
        <f t="shared" si="6"/>
        <v>12.95</v>
      </c>
      <c r="N152" t="str">
        <f t="shared" si="7"/>
        <v>Liberica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_xlfn.XLOOKUP(orders!C153,customers!$A$1:$A$1001,customers!$B$1:$B$1001,,0)</f>
        <v>Quinton Fouracres</v>
      </c>
      <c r="G153" s="2" t="str">
        <f>IF(_xlfn.XLOOKUP(orders!C153,customers!$A$1:$A$1001,customers!$C$1:$C$1001,,0)=0,"",_xlfn.XLOOKUP(orders!C153,customers!$A$1:$A$1001,customers!$C$1:$C$1001,,0))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6">
        <f t="shared" si="6"/>
        <v>33.75</v>
      </c>
      <c r="N153" t="str">
        <f t="shared" si="7"/>
        <v>Arabica</v>
      </c>
      <c r="O153"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f>_xlfn.XLOOKUP(orders!C154,customers!$A$1:$A$1001,customers!$B$1:$B$1001,,0)</f>
        <v>Bettina Leffek</v>
      </c>
      <c r="G154" s="2" t="str">
        <f>IF(_xlfn.XLOOKUP(orders!C154,customers!$A$1:$A$1001,customers!$C$1:$C$1001,,0)=0,"",_xlfn.XLOOKUP(orders!C154,customers!$A$1:$A$1001,customers!$C$1:$C$1001,,0))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6">
        <f t="shared" si="6"/>
        <v>68.655000000000001</v>
      </c>
      <c r="N154" t="str">
        <f t="shared" si="7"/>
        <v>Robusta</v>
      </c>
      <c r="O154"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f>_xlfn.XLOOKUP(orders!C155,customers!$A$1:$A$1001,customers!$B$1:$B$1001,,0)</f>
        <v>Hetti Penson</v>
      </c>
      <c r="G155" s="2" t="str">
        <f>IF(_xlfn.XLOOKUP(orders!C155,customers!$A$1:$A$1001,customers!$C$1:$C$1001,,0)=0,"",_xlfn.XLOOKUP(orders!C155,customers!$A$1:$A$1001,customers!$C$1:$C$1001,,0))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6">
        <f t="shared" si="6"/>
        <v>2.6849999999999996</v>
      </c>
      <c r="N155" t="str">
        <f t="shared" si="7"/>
        <v>Robusta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_xlfn.XLOOKUP(orders!C156,customers!$A$1:$A$1001,customers!$B$1:$B$1001,,0)</f>
        <v>Jocko Pray</v>
      </c>
      <c r="G156" s="2" t="str">
        <f>IF(_xlfn.XLOOKUP(orders!C156,customers!$A$1:$A$1001,customers!$C$1:$C$1001,,0)=0,"",_xlfn.XLOOKUP(orders!C156,customers!$A$1:$A$1001,customers!$C$1:$C$1001,,0))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6">
        <f t="shared" si="6"/>
        <v>114.42499999999998</v>
      </c>
      <c r="N156" t="str">
        <f t="shared" si="7"/>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_xlfn.XLOOKUP(orders!C157,customers!$A$1:$A$1001,customers!$B$1:$B$1001,,0)</f>
        <v>Grete Holborn</v>
      </c>
      <c r="G157" s="2" t="str">
        <f>IF(_xlfn.XLOOKUP(orders!C157,customers!$A$1:$A$1001,customers!$C$1:$C$1001,,0)=0,"",_xlfn.XLOOKUP(orders!C157,customers!$A$1:$A$1001,customers!$C$1:$C$1001,,0))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6">
        <f t="shared" si="6"/>
        <v>155.24999999999997</v>
      </c>
      <c r="N157" t="str">
        <f t="shared" si="7"/>
        <v>Arabica</v>
      </c>
      <c r="O157"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f>_xlfn.XLOOKUP(orders!C158,customers!$A$1:$A$1001,customers!$B$1:$B$1001,,0)</f>
        <v>Fielding Keinrat</v>
      </c>
      <c r="G158" s="2" t="str">
        <f>IF(_xlfn.XLOOKUP(orders!C158,customers!$A$1:$A$1001,customers!$C$1:$C$1001,,0)=0,"",_xlfn.XLOOKUP(orders!C158,customers!$A$1:$A$1001,customers!$C$1:$C$1001,,0))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6">
        <f t="shared" si="6"/>
        <v>77.624999999999986</v>
      </c>
      <c r="N158" t="str">
        <f t="shared" si="7"/>
        <v>Arabica</v>
      </c>
      <c r="O158"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f>_xlfn.XLOOKUP(orders!C159,customers!$A$1:$A$1001,customers!$B$1:$B$1001,,0)</f>
        <v>Paulo Yea</v>
      </c>
      <c r="G159" s="2" t="str">
        <f>IF(_xlfn.XLOOKUP(orders!C159,customers!$A$1:$A$1001,customers!$C$1:$C$1001,,0)=0,"",_xlfn.XLOOKUP(orders!C159,customers!$A$1:$A$1001,customers!$C$1:$C$1001,,0))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6">
        <f t="shared" si="6"/>
        <v>61.754999999999995</v>
      </c>
      <c r="N159" t="str">
        <f t="shared" si="7"/>
        <v>Robusta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_xlfn.XLOOKUP(orders!C160,customers!$A$1:$A$1001,customers!$B$1:$B$1001,,0)</f>
        <v>Say Risborough</v>
      </c>
      <c r="G160" s="2" t="str">
        <f>IF(_xlfn.XLOOKUP(orders!C160,customers!$A$1:$A$1001,customers!$C$1:$C$1001,,0)=0,"",_xlfn.XLOOKUP(orders!C160,customers!$A$1:$A$1001,customers!$C$1:$C$1001,,0))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6">
        <f t="shared" si="6"/>
        <v>123.50999999999999</v>
      </c>
      <c r="N160" t="str">
        <f t="shared" si="7"/>
        <v>Robusta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_xlfn.XLOOKUP(orders!C161,customers!$A$1:$A$1001,customers!$B$1:$B$1001,,0)</f>
        <v>Alexa Sizey</v>
      </c>
      <c r="G161" s="2" t="str">
        <f>IF(_xlfn.XLOOKUP(orders!C161,customers!$A$1:$A$1001,customers!$C$1:$C$1001,,0)=0,"",_xlfn.XLOOKUP(orders!C161,customers!$A$1:$A$1001,customers!$C$1:$C$1001,,0))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6">
        <f t="shared" si="6"/>
        <v>218.73</v>
      </c>
      <c r="N161" t="str">
        <f t="shared" si="7"/>
        <v>Liberica</v>
      </c>
      <c r="O161"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f>_xlfn.XLOOKUP(orders!C162,customers!$A$1:$A$1001,customers!$B$1:$B$1001,,0)</f>
        <v>Kari Swede</v>
      </c>
      <c r="G162" s="2" t="str">
        <f>IF(_xlfn.XLOOKUP(orders!C162,customers!$A$1:$A$1001,customers!$C$1:$C$1001,,0)=0,"",_xlfn.XLOOKUP(orders!C162,customers!$A$1:$A$1001,customers!$C$1:$C$1001,,0))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6">
        <f t="shared" si="6"/>
        <v>33</v>
      </c>
      <c r="N162" t="str">
        <f t="shared" si="7"/>
        <v>Excelsa</v>
      </c>
      <c r="O16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f>_xlfn.XLOOKUP(orders!C163,customers!$A$1:$A$1001,customers!$B$1:$B$1001,,0)</f>
        <v>Leontine Rubrow</v>
      </c>
      <c r="G163" s="2" t="str">
        <f>IF(_xlfn.XLOOKUP(orders!C163,customers!$A$1:$A$1001,customers!$C$1:$C$1001,,0)=0,"",_xlfn.XLOOKUP(orders!C163,customers!$A$1:$A$1001,customers!$C$1:$C$1001,,0))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6">
        <f t="shared" si="6"/>
        <v>23.31</v>
      </c>
      <c r="N163" t="str">
        <f t="shared" si="7"/>
        <v>Arabica</v>
      </c>
      <c r="O163"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f>_xlfn.XLOOKUP(orders!C164,customers!$A$1:$A$1001,customers!$B$1:$B$1001,,0)</f>
        <v>Dottie Tift</v>
      </c>
      <c r="G164" s="2" t="str">
        <f>IF(_xlfn.XLOOKUP(orders!C164,customers!$A$1:$A$1001,customers!$C$1:$C$1001,,0)=0,"",_xlfn.XLOOKUP(orders!C164,customers!$A$1:$A$1001,customers!$C$1:$C$1001,,0))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6">
        <f t="shared" si="6"/>
        <v>21.87</v>
      </c>
      <c r="N164" t="str">
        <f t="shared" si="7"/>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_xlfn.XLOOKUP(orders!C165,customers!$A$1:$A$1001,customers!$B$1:$B$1001,,0)</f>
        <v>Gerardo Schonfeld</v>
      </c>
      <c r="G165" s="2" t="str">
        <f>IF(_xlfn.XLOOKUP(orders!C165,customers!$A$1:$A$1001,customers!$C$1:$C$1001,,0)=0,"",_xlfn.XLOOKUP(orders!C165,customers!$A$1:$A$1001,customers!$C$1:$C$1001,,0))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6">
        <f t="shared" si="6"/>
        <v>16.11</v>
      </c>
      <c r="N165" t="str">
        <f t="shared" si="7"/>
        <v>Robusta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_xlfn.XLOOKUP(orders!C166,customers!$A$1:$A$1001,customers!$B$1:$B$1001,,0)</f>
        <v>Claiborne Feye</v>
      </c>
      <c r="G166" s="2" t="str">
        <f>IF(_xlfn.XLOOKUP(orders!C166,customers!$A$1:$A$1001,customers!$C$1:$C$1001,,0)=0,"",_xlfn.XLOOKUP(orders!C166,customers!$A$1:$A$1001,customers!$C$1:$C$1001,,0))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6">
        <f t="shared" si="6"/>
        <v>29.16</v>
      </c>
      <c r="N166" t="str">
        <f t="shared" si="7"/>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_xlfn.XLOOKUP(orders!C167,customers!$A$1:$A$1001,customers!$B$1:$B$1001,,0)</f>
        <v>Mina Elstone</v>
      </c>
      <c r="G167" s="2" t="str">
        <f>IF(_xlfn.XLOOKUP(orders!C167,customers!$A$1:$A$1001,customers!$C$1:$C$1001,,0)=0,"",_xlfn.XLOOKUP(orders!C167,customers!$A$1:$A$1001,customers!$C$1:$C$1001,,0))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6">
        <f t="shared" si="6"/>
        <v>53.699999999999996</v>
      </c>
      <c r="N167" t="str">
        <f t="shared" si="7"/>
        <v>Robusta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_xlfn.XLOOKUP(orders!C168,customers!$A$1:$A$1001,customers!$B$1:$B$1001,,0)</f>
        <v>Sherman Mewrcik</v>
      </c>
      <c r="G168" s="2" t="str">
        <f>IF(_xlfn.XLOOKUP(orders!C168,customers!$A$1:$A$1001,customers!$C$1:$C$1001,,0)=0,"",_xlfn.XLOOKUP(orders!C168,customers!$A$1:$A$1001,customers!$C$1:$C$1001,,0))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6">
        <f t="shared" si="6"/>
        <v>26.849999999999994</v>
      </c>
      <c r="N168" t="str">
        <f t="shared" si="7"/>
        <v>Robusta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_xlfn.XLOOKUP(orders!C169,customers!$A$1:$A$1001,customers!$B$1:$B$1001,,0)</f>
        <v>Tamarah Fero</v>
      </c>
      <c r="G169" s="2" t="str">
        <f>IF(_xlfn.XLOOKUP(orders!C169,customers!$A$1:$A$1001,customers!$C$1:$C$1001,,0)=0,"",_xlfn.XLOOKUP(orders!C169,customers!$A$1:$A$1001,customers!$C$1:$C$1001,,0))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6">
        <f t="shared" si="6"/>
        <v>41.25</v>
      </c>
      <c r="N169" t="str">
        <f t="shared" si="7"/>
        <v>Excelsa</v>
      </c>
      <c r="O169"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f>_xlfn.XLOOKUP(orders!C170,customers!$A$1:$A$1001,customers!$B$1:$B$1001,,0)</f>
        <v>Stanislaus Valsler</v>
      </c>
      <c r="G170" s="2" t="str">
        <f>IF(_xlfn.XLOOKUP(orders!C170,customers!$A$1:$A$1001,customers!$C$1:$C$1001,,0)=0,"",_xlfn.XLOOKUP(orders!C170,customers!$A$1:$A$1001,customers!$C$1:$C$1001,,0))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6">
        <f t="shared" si="6"/>
        <v>40.5</v>
      </c>
      <c r="N170" t="str">
        <f t="shared" si="7"/>
        <v>Arabica</v>
      </c>
      <c r="O170"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f>_xlfn.XLOOKUP(orders!C171,customers!$A$1:$A$1001,customers!$B$1:$B$1001,,0)</f>
        <v>Felita Dauney</v>
      </c>
      <c r="G171" s="2" t="str">
        <f>IF(_xlfn.XLOOKUP(orders!C171,customers!$A$1:$A$1001,customers!$C$1:$C$1001,,0)=0,"",_xlfn.XLOOKUP(orders!C171,customers!$A$1:$A$1001,customers!$C$1:$C$1001,,0))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6">
        <f t="shared" si="6"/>
        <v>17.899999999999999</v>
      </c>
      <c r="N171" t="str">
        <f t="shared" si="7"/>
        <v>Robusta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_xlfn.XLOOKUP(orders!C172,customers!$A$1:$A$1001,customers!$B$1:$B$1001,,0)</f>
        <v>Serena Earley</v>
      </c>
      <c r="G172" s="2" t="str">
        <f>IF(_xlfn.XLOOKUP(orders!C172,customers!$A$1:$A$1001,customers!$C$1:$C$1001,,0)=0,"",_xlfn.XLOOKUP(orders!C172,customers!$A$1:$A$1001,customers!$C$1:$C$1001,,0))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6">
        <f t="shared" si="6"/>
        <v>68.309999999999988</v>
      </c>
      <c r="N172" t="str">
        <f t="shared" si="7"/>
        <v>Excelsa</v>
      </c>
      <c r="O17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f>_xlfn.XLOOKUP(orders!C173,customers!$A$1:$A$1001,customers!$B$1:$B$1001,,0)</f>
        <v>Minny Chamberlayne</v>
      </c>
      <c r="G173" s="2" t="str">
        <f>IF(_xlfn.XLOOKUP(orders!C173,customers!$A$1:$A$1001,customers!$C$1:$C$1001,,0)=0,"",_xlfn.XLOOKUP(orders!C173,customers!$A$1:$A$1001,customers!$C$1:$C$1001,,0))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6">
        <f t="shared" si="6"/>
        <v>63.249999999999993</v>
      </c>
      <c r="N173" t="str">
        <f t="shared" si="7"/>
        <v>Excelsa</v>
      </c>
      <c r="O173"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f>_xlfn.XLOOKUP(orders!C174,customers!$A$1:$A$1001,customers!$B$1:$B$1001,,0)</f>
        <v>Bartholemy Flaherty</v>
      </c>
      <c r="G174" s="2" t="str">
        <f>IF(_xlfn.XLOOKUP(orders!C174,customers!$A$1:$A$1001,customers!$C$1:$C$1001,,0)=0,"",_xlfn.XLOOKUP(orders!C174,customers!$A$1:$A$1001,customers!$C$1:$C$1001,,0))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6">
        <f t="shared" si="6"/>
        <v>21.87</v>
      </c>
      <c r="N174" t="str">
        <f t="shared" si="7"/>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_xlfn.XLOOKUP(orders!C175,customers!$A$1:$A$1001,customers!$B$1:$B$1001,,0)</f>
        <v>Oran Colbeck</v>
      </c>
      <c r="G175" s="2" t="str">
        <f>IF(_xlfn.XLOOKUP(orders!C175,customers!$A$1:$A$1001,customers!$C$1:$C$1001,,0)=0,"",_xlfn.XLOOKUP(orders!C175,customers!$A$1:$A$1001,customers!$C$1:$C$1001,,0))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6">
        <f t="shared" si="6"/>
        <v>91.539999999999992</v>
      </c>
      <c r="N175" t="str">
        <f t="shared" si="7"/>
        <v>Robusta</v>
      </c>
      <c r="O175"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f>_xlfn.XLOOKUP(orders!C176,customers!$A$1:$A$1001,customers!$B$1:$B$1001,,0)</f>
        <v>Elysee Sketch</v>
      </c>
      <c r="G176" s="2" t="str">
        <f>IF(_xlfn.XLOOKUP(orders!C176,customers!$A$1:$A$1001,customers!$C$1:$C$1001,,0)=0,"",_xlfn.XLOOKUP(orders!C176,customers!$A$1:$A$1001,customers!$C$1:$C$1001,,0))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6">
        <f t="shared" si="6"/>
        <v>204.92999999999995</v>
      </c>
      <c r="N176" t="str">
        <f t="shared" si="7"/>
        <v>Excelsa</v>
      </c>
      <c r="O176"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f>_xlfn.XLOOKUP(orders!C177,customers!$A$1:$A$1001,customers!$B$1:$B$1001,,0)</f>
        <v>Ethelda Hobbing</v>
      </c>
      <c r="G177" s="2" t="str">
        <f>IF(_xlfn.XLOOKUP(orders!C177,customers!$A$1:$A$1001,customers!$C$1:$C$1001,,0)=0,"",_xlfn.XLOOKUP(orders!C177,customers!$A$1:$A$1001,customers!$C$1:$C$1001,,0))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6">
        <f t="shared" si="6"/>
        <v>63.249999999999993</v>
      </c>
      <c r="N177" t="str">
        <f t="shared" si="7"/>
        <v>Excelsa</v>
      </c>
      <c r="O177"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f>_xlfn.XLOOKUP(orders!C178,customers!$A$1:$A$1001,customers!$B$1:$B$1001,,0)</f>
        <v>Odille Thynne</v>
      </c>
      <c r="G178" s="2" t="str">
        <f>IF(_xlfn.XLOOKUP(orders!C178,customers!$A$1:$A$1001,customers!$C$1:$C$1001,,0)=0,"",_xlfn.XLOOKUP(orders!C178,customers!$A$1:$A$1001,customers!$C$1:$C$1001,,0))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6">
        <f t="shared" si="6"/>
        <v>34.154999999999994</v>
      </c>
      <c r="N178" t="str">
        <f t="shared" si="7"/>
        <v>Excelsa</v>
      </c>
      <c r="O178"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f>_xlfn.XLOOKUP(orders!C179,customers!$A$1:$A$1001,customers!$B$1:$B$1001,,0)</f>
        <v>Emlynne Heining</v>
      </c>
      <c r="G179" s="2" t="str">
        <f>IF(_xlfn.XLOOKUP(orders!C179,customers!$A$1:$A$1001,customers!$C$1:$C$1001,,0)=0,"",_xlfn.XLOOKUP(orders!C179,customers!$A$1:$A$1001,customers!$C$1:$C$1001,,0))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6">
        <f t="shared" si="6"/>
        <v>109.93999999999998</v>
      </c>
      <c r="N179" t="str">
        <f t="shared" si="7"/>
        <v>Robusta</v>
      </c>
      <c r="O179"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f>_xlfn.XLOOKUP(orders!C180,customers!$A$1:$A$1001,customers!$B$1:$B$1001,,0)</f>
        <v>Katerina Melloi</v>
      </c>
      <c r="G180" s="2" t="str">
        <f>IF(_xlfn.XLOOKUP(orders!C180,customers!$A$1:$A$1001,customers!$C$1:$C$1001,,0)=0,"",_xlfn.XLOOKUP(orders!C180,customers!$A$1:$A$1001,customers!$C$1:$C$1001,,0))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6">
        <f t="shared" si="6"/>
        <v>25.9</v>
      </c>
      <c r="N180" t="str">
        <f t="shared" si="7"/>
        <v>Arabica</v>
      </c>
      <c r="O180"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f>_xlfn.XLOOKUP(orders!C181,customers!$A$1:$A$1001,customers!$B$1:$B$1001,,0)</f>
        <v>Tiffany Scardafield</v>
      </c>
      <c r="G181" s="2" t="str">
        <f>IF(_xlfn.XLOOKUP(orders!C181,customers!$A$1:$A$1001,customers!$C$1:$C$1001,,0)=0,"",_xlfn.XLOOKUP(orders!C181,customers!$A$1:$A$1001,customers!$C$1:$C$1001,,0))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6">
        <f t="shared" si="6"/>
        <v>2.9849999999999999</v>
      </c>
      <c r="N181" t="str">
        <f t="shared" si="7"/>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_xlfn.XLOOKUP(orders!C182,customers!$A$1:$A$1001,customers!$B$1:$B$1001,,0)</f>
        <v>Abrahan Mussen</v>
      </c>
      <c r="G182" s="2" t="str">
        <f>IF(_xlfn.XLOOKUP(orders!C182,customers!$A$1:$A$1001,customers!$C$1:$C$1001,,0)=0,"",_xlfn.XLOOKUP(orders!C182,customers!$A$1:$A$1001,customers!$C$1:$C$1001,,0))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6">
        <f t="shared" si="6"/>
        <v>22.274999999999999</v>
      </c>
      <c r="N182" t="str">
        <f t="shared" si="7"/>
        <v>Excelsa</v>
      </c>
      <c r="O18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f>_xlfn.XLOOKUP(orders!C183,customers!$A$1:$A$1001,customers!$B$1:$B$1001,,0)</f>
        <v>Abrahan Mussen</v>
      </c>
      <c r="G183" s="2" t="str">
        <f>IF(_xlfn.XLOOKUP(orders!C183,customers!$A$1:$A$1001,customers!$C$1:$C$1001,,0)=0,"",_xlfn.XLOOKUP(orders!C183,customers!$A$1:$A$1001,customers!$C$1:$C$1001,,0))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6">
        <f t="shared" si="6"/>
        <v>29.849999999999998</v>
      </c>
      <c r="N183" t="str">
        <f t="shared" si="7"/>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_xlfn.XLOOKUP(orders!C184,customers!$A$1:$A$1001,customers!$B$1:$B$1001,,0)</f>
        <v>Anny Mundford</v>
      </c>
      <c r="G184" s="2" t="str">
        <f>IF(_xlfn.XLOOKUP(orders!C184,customers!$A$1:$A$1001,customers!$C$1:$C$1001,,0)=0,"",_xlfn.XLOOKUP(orders!C184,customers!$A$1:$A$1001,customers!$C$1:$C$1001,,0))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6">
        <f t="shared" si="6"/>
        <v>32.22</v>
      </c>
      <c r="N184" t="str">
        <f t="shared" si="7"/>
        <v>Robusta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_xlfn.XLOOKUP(orders!C185,customers!$A$1:$A$1001,customers!$B$1:$B$1001,,0)</f>
        <v>Tory Walas</v>
      </c>
      <c r="G185" s="2" t="str">
        <f>IF(_xlfn.XLOOKUP(orders!C185,customers!$A$1:$A$1001,customers!$C$1:$C$1001,,0)=0,"",_xlfn.XLOOKUP(orders!C185,customers!$A$1:$A$1001,customers!$C$1:$C$1001,,0))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6">
        <f t="shared" si="6"/>
        <v>8.25</v>
      </c>
      <c r="N185" t="str">
        <f t="shared" si="7"/>
        <v>Excelsa</v>
      </c>
      <c r="O185"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f>_xlfn.XLOOKUP(orders!C186,customers!$A$1:$A$1001,customers!$B$1:$B$1001,,0)</f>
        <v>Isa Blazewicz</v>
      </c>
      <c r="G186" s="2" t="str">
        <f>IF(_xlfn.XLOOKUP(orders!C186,customers!$A$1:$A$1001,customers!$C$1:$C$1001,,0)=0,"",_xlfn.XLOOKUP(orders!C186,customers!$A$1:$A$1001,customers!$C$1:$C$1001,,0))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6">
        <f t="shared" si="6"/>
        <v>31.08</v>
      </c>
      <c r="N186" t="str">
        <f t="shared" si="7"/>
        <v>Arabica</v>
      </c>
      <c r="O186"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f>_xlfn.XLOOKUP(orders!C187,customers!$A$1:$A$1001,customers!$B$1:$B$1001,,0)</f>
        <v>Angie Rizzetti</v>
      </c>
      <c r="G187" s="2" t="str">
        <f>IF(_xlfn.XLOOKUP(orders!C187,customers!$A$1:$A$1001,customers!$C$1:$C$1001,,0)=0,"",_xlfn.XLOOKUP(orders!C187,customers!$A$1:$A$1001,customers!$C$1:$C$1001,,0))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6">
        <f t="shared" si="6"/>
        <v>36.450000000000003</v>
      </c>
      <c r="N187" t="str">
        <f t="shared" si="7"/>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_xlfn.XLOOKUP(orders!C188,customers!$A$1:$A$1001,customers!$B$1:$B$1001,,0)</f>
        <v>Mord Meriet</v>
      </c>
      <c r="G188" s="2" t="str">
        <f>IF(_xlfn.XLOOKUP(orders!C188,customers!$A$1:$A$1001,customers!$C$1:$C$1001,,0)=0,"",_xlfn.XLOOKUP(orders!C188,customers!$A$1:$A$1001,customers!$C$1:$C$1001,,0))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6">
        <f t="shared" si="6"/>
        <v>68.655000000000001</v>
      </c>
      <c r="N188" t="str">
        <f t="shared" si="7"/>
        <v>Robusta</v>
      </c>
      <c r="O188"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f>_xlfn.XLOOKUP(orders!C189,customers!$A$1:$A$1001,customers!$B$1:$B$1001,,0)</f>
        <v>Lawrence Pratt</v>
      </c>
      <c r="G189" s="2" t="str">
        <f>IF(_xlfn.XLOOKUP(orders!C189,customers!$A$1:$A$1001,customers!$C$1:$C$1001,,0)=0,"",_xlfn.XLOOKUP(orders!C189,customers!$A$1:$A$1001,customers!$C$1:$C$1001,,0))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6">
        <f t="shared" si="6"/>
        <v>43.650000000000006</v>
      </c>
      <c r="N189" t="str">
        <f t="shared" si="7"/>
        <v>Liberica</v>
      </c>
      <c r="O189"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f>_xlfn.XLOOKUP(orders!C190,customers!$A$1:$A$1001,customers!$B$1:$B$1001,,0)</f>
        <v>Astrix Kitchingham</v>
      </c>
      <c r="G190" s="2" t="str">
        <f>IF(_xlfn.XLOOKUP(orders!C190,customers!$A$1:$A$1001,customers!$C$1:$C$1001,,0)=0,"",_xlfn.XLOOKUP(orders!C190,customers!$A$1:$A$1001,customers!$C$1:$C$1001,,0))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6">
        <f t="shared" si="6"/>
        <v>4.4550000000000001</v>
      </c>
      <c r="N190" t="str">
        <f t="shared" si="7"/>
        <v>Excelsa</v>
      </c>
      <c r="O190"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f>_xlfn.XLOOKUP(orders!C191,customers!$A$1:$A$1001,customers!$B$1:$B$1001,,0)</f>
        <v>Burnard Bartholin</v>
      </c>
      <c r="G191" s="2" t="str">
        <f>IF(_xlfn.XLOOKUP(orders!C191,customers!$A$1:$A$1001,customers!$C$1:$C$1001,,0)=0,"",_xlfn.XLOOKUP(orders!C191,customers!$A$1:$A$1001,customers!$C$1:$C$1001,,0))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6">
        <f t="shared" si="6"/>
        <v>43.650000000000006</v>
      </c>
      <c r="N191" t="str">
        <f t="shared" si="7"/>
        <v>Liberica</v>
      </c>
      <c r="O191"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f>_xlfn.XLOOKUP(orders!C192,customers!$A$1:$A$1001,customers!$B$1:$B$1001,,0)</f>
        <v>Madelene Prinn</v>
      </c>
      <c r="G192" s="2" t="str">
        <f>IF(_xlfn.XLOOKUP(orders!C192,customers!$A$1:$A$1001,customers!$C$1:$C$1001,,0)=0,"",_xlfn.XLOOKUP(orders!C192,customers!$A$1:$A$1001,customers!$C$1:$C$1001,,0))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6">
        <f t="shared" si="6"/>
        <v>33.464999999999996</v>
      </c>
      <c r="N192" t="str">
        <f t="shared" si="7"/>
        <v>Liberica</v>
      </c>
      <c r="O19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f>_xlfn.XLOOKUP(orders!C193,customers!$A$1:$A$1001,customers!$B$1:$B$1001,,0)</f>
        <v>Alisun Baudino</v>
      </c>
      <c r="G193" s="2" t="str">
        <f>IF(_xlfn.XLOOKUP(orders!C193,customers!$A$1:$A$1001,customers!$C$1:$C$1001,,0)=0,"",_xlfn.XLOOKUP(orders!C193,customers!$A$1:$A$1001,customers!$C$1:$C$1001,,0))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6">
        <f t="shared" si="6"/>
        <v>19.424999999999997</v>
      </c>
      <c r="N193" t="str">
        <f t="shared" si="7"/>
        <v>Liberica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_xlfn.XLOOKUP(orders!C194,customers!$A$1:$A$1001,customers!$B$1:$B$1001,,0)</f>
        <v>Philipa Petrushanko</v>
      </c>
      <c r="G194" s="2" t="str">
        <f>IF(_xlfn.XLOOKUP(orders!C194,customers!$A$1:$A$1001,customers!$C$1:$C$1001,,0)=0,"",_xlfn.XLOOKUP(orders!C194,customers!$A$1:$A$1001,customers!$C$1:$C$1001,,0))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6">
        <f t="shared" si="6"/>
        <v>72.900000000000006</v>
      </c>
      <c r="N194" t="str">
        <f t="shared" si="7"/>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_xlfn.XLOOKUP(orders!C195,customers!$A$1:$A$1001,customers!$B$1:$B$1001,,0)</f>
        <v>Kimberli Mustchin</v>
      </c>
      <c r="G195" s="2" t="str">
        <f>IF(_xlfn.XLOOKUP(orders!C195,customers!$A$1:$A$1001,customers!$C$1:$C$1001,,0)=0,"",_xlfn.XLOOKUP(orders!C195,customers!$A$1:$A$1001,customers!$C$1:$C$1001,,0))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6">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_xlfn.XLOOKUP(orders!C196,customers!$A$1:$A$1001,customers!$B$1:$B$1001,,0)</f>
        <v>Emlynne Laird</v>
      </c>
      <c r="G196" s="2" t="str">
        <f>IF(_xlfn.XLOOKUP(orders!C196,customers!$A$1:$A$1001,customers!$C$1:$C$1001,,0)=0,"",_xlfn.XLOOKUP(orders!C196,customers!$A$1:$A$1001,customers!$C$1:$C$1001,,0))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6">
        <f t="shared" si="9"/>
        <v>36.450000000000003</v>
      </c>
      <c r="N196" t="str">
        <f t="shared" si="10"/>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_xlfn.XLOOKUP(orders!C197,customers!$A$1:$A$1001,customers!$B$1:$B$1001,,0)</f>
        <v>Marlena Howsden</v>
      </c>
      <c r="G197" s="2" t="str">
        <f>IF(_xlfn.XLOOKUP(orders!C197,customers!$A$1:$A$1001,customers!$C$1:$C$1001,,0)=0,"",_xlfn.XLOOKUP(orders!C197,customers!$A$1:$A$1001,customers!$C$1:$C$1001,,0))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6">
        <f t="shared" si="9"/>
        <v>38.849999999999994</v>
      </c>
      <c r="N197" t="str">
        <f t="shared" si="10"/>
        <v>Arabica</v>
      </c>
      <c r="O197"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f>_xlfn.XLOOKUP(orders!C198,customers!$A$1:$A$1001,customers!$B$1:$B$1001,,0)</f>
        <v>Nealson Cuttler</v>
      </c>
      <c r="G198" s="2" t="str">
        <f>IF(_xlfn.XLOOKUP(orders!C198,customers!$A$1:$A$1001,customers!$C$1:$C$1001,,0)=0,"",_xlfn.XLOOKUP(orders!C198,customers!$A$1:$A$1001,customers!$C$1:$C$1001,,0))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6">
        <f t="shared" si="9"/>
        <v>53.46</v>
      </c>
      <c r="N198" t="str">
        <f t="shared" si="10"/>
        <v>Excelsa</v>
      </c>
      <c r="O198"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f>_xlfn.XLOOKUP(orders!C199,customers!$A$1:$A$1001,customers!$B$1:$B$1001,,0)</f>
        <v>Nealson Cuttler</v>
      </c>
      <c r="G199" s="2" t="str">
        <f>IF(_xlfn.XLOOKUP(orders!C199,customers!$A$1:$A$1001,customers!$C$1:$C$1001,,0)=0,"",_xlfn.XLOOKUP(orders!C199,customers!$A$1:$A$1001,customers!$C$1:$C$1001,,0))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6">
        <f t="shared" si="9"/>
        <v>59.569999999999993</v>
      </c>
      <c r="N199" t="str">
        <f t="shared" si="10"/>
        <v>Liberica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_xlfn.XLOOKUP(orders!C200,customers!$A$1:$A$1001,customers!$B$1:$B$1001,,0)</f>
        <v>Nealson Cuttler</v>
      </c>
      <c r="G200" s="2" t="str">
        <f>IF(_xlfn.XLOOKUP(orders!C200,customers!$A$1:$A$1001,customers!$C$1:$C$1001,,0)=0,"",_xlfn.XLOOKUP(orders!C200,customers!$A$1:$A$1001,customers!$C$1:$C$1001,,0))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6">
        <f t="shared" si="9"/>
        <v>89.35499999999999</v>
      </c>
      <c r="N200" t="str">
        <f t="shared" si="10"/>
        <v>Liberica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_xlfn.XLOOKUP(orders!C201,customers!$A$1:$A$1001,customers!$B$1:$B$1001,,0)</f>
        <v>Nealson Cuttler</v>
      </c>
      <c r="G201" s="2" t="str">
        <f>IF(_xlfn.XLOOKUP(orders!C201,customers!$A$1:$A$1001,customers!$C$1:$C$1001,,0)=0,"",_xlfn.XLOOKUP(orders!C201,customers!$A$1:$A$1001,customers!$C$1:$C$1001,,0))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6">
        <f t="shared" si="9"/>
        <v>38.04</v>
      </c>
      <c r="N201" t="str">
        <f t="shared" si="10"/>
        <v>Liberica</v>
      </c>
      <c r="O201"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f>_xlfn.XLOOKUP(orders!C202,customers!$A$1:$A$1001,customers!$B$1:$B$1001,,0)</f>
        <v>Nealson Cuttler</v>
      </c>
      <c r="G202" s="2" t="str">
        <f>IF(_xlfn.XLOOKUP(orders!C202,customers!$A$1:$A$1001,customers!$C$1:$C$1001,,0)=0,"",_xlfn.XLOOKUP(orders!C202,customers!$A$1:$A$1001,customers!$C$1:$C$1001,,0))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6">
        <f t="shared" si="9"/>
        <v>41.25</v>
      </c>
      <c r="N202" t="str">
        <f t="shared" si="10"/>
        <v>Excelsa</v>
      </c>
      <c r="O20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f>_xlfn.XLOOKUP(orders!C203,customers!$A$1:$A$1001,customers!$B$1:$B$1001,,0)</f>
        <v>Adriana Lazarus</v>
      </c>
      <c r="G203" s="2" t="str">
        <f>IF(_xlfn.XLOOKUP(orders!C203,customers!$A$1:$A$1001,customers!$C$1:$C$1001,,0)=0,"",_xlfn.XLOOKUP(orders!C203,customers!$A$1:$A$1001,customers!$C$1:$C$1001,,0))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6">
        <f t="shared" si="9"/>
        <v>57.06</v>
      </c>
      <c r="N203" t="str">
        <f t="shared" si="10"/>
        <v>Liberica</v>
      </c>
      <c r="O203"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f>_xlfn.XLOOKUP(orders!C204,customers!$A$1:$A$1001,customers!$B$1:$B$1001,,0)</f>
        <v>Tallie felip</v>
      </c>
      <c r="G204" s="2" t="str">
        <f>IF(_xlfn.XLOOKUP(orders!C204,customers!$A$1:$A$1001,customers!$C$1:$C$1001,,0)=0,"",_xlfn.XLOOKUP(orders!C204,customers!$A$1:$A$1001,customers!$C$1:$C$1001,,0))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6">
        <f t="shared" si="9"/>
        <v>178.70999999999998</v>
      </c>
      <c r="N204" t="str">
        <f t="shared" si="10"/>
        <v>Liberica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_xlfn.XLOOKUP(orders!C205,customers!$A$1:$A$1001,customers!$B$1:$B$1001,,0)</f>
        <v>Vanna Le - Count</v>
      </c>
      <c r="G205" s="2" t="str">
        <f>IF(_xlfn.XLOOKUP(orders!C205,customers!$A$1:$A$1001,customers!$C$1:$C$1001,,0)=0,"",_xlfn.XLOOKUP(orders!C205,customers!$A$1:$A$1001,customers!$C$1:$C$1001,,0))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6">
        <f t="shared" si="9"/>
        <v>4.7549999999999999</v>
      </c>
      <c r="N205" t="str">
        <f t="shared" si="10"/>
        <v>Liberica</v>
      </c>
      <c r="O205"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f>_xlfn.XLOOKUP(orders!C206,customers!$A$1:$A$1001,customers!$B$1:$B$1001,,0)</f>
        <v>Sarette Ducarel</v>
      </c>
      <c r="G206" s="2" t="str">
        <f>IF(_xlfn.XLOOKUP(orders!C206,customers!$A$1:$A$1001,customers!$C$1:$C$1001,,0)=0,"",_xlfn.XLOOKUP(orders!C206,customers!$A$1:$A$1001,customers!$C$1:$C$1001,,0))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6">
        <f t="shared" si="9"/>
        <v>82.5</v>
      </c>
      <c r="N206" t="str">
        <f t="shared" si="10"/>
        <v>Excelsa</v>
      </c>
      <c r="O206"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f>_xlfn.XLOOKUP(orders!C207,customers!$A$1:$A$1001,customers!$B$1:$B$1001,,0)</f>
        <v>Kendra Glison</v>
      </c>
      <c r="G207" s="2" t="str">
        <f>IF(_xlfn.XLOOKUP(orders!C207,customers!$A$1:$A$1001,customers!$C$1:$C$1001,,0)=0,"",_xlfn.XLOOKUP(orders!C207,customers!$A$1:$A$1001,customers!$C$1:$C$1001,,0))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6">
        <f t="shared" si="9"/>
        <v>8.0549999999999997</v>
      </c>
      <c r="N207" t="str">
        <f t="shared" si="10"/>
        <v>Robusta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_xlfn.XLOOKUP(orders!C208,customers!$A$1:$A$1001,customers!$B$1:$B$1001,,0)</f>
        <v>Nertie Poolman</v>
      </c>
      <c r="G208" s="2" t="str">
        <f>IF(_xlfn.XLOOKUP(orders!C208,customers!$A$1:$A$1001,customers!$C$1:$C$1001,,0)=0,"",_xlfn.XLOOKUP(orders!C208,customers!$A$1:$A$1001,customers!$C$1:$C$1001,,0))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6">
        <f t="shared" si="9"/>
        <v>22.5</v>
      </c>
      <c r="N208" t="str">
        <f t="shared" si="10"/>
        <v>Arabica</v>
      </c>
      <c r="O208"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f>_xlfn.XLOOKUP(orders!C209,customers!$A$1:$A$1001,customers!$B$1:$B$1001,,0)</f>
        <v>Orbadiah Duny</v>
      </c>
      <c r="G209" s="2" t="str">
        <f>IF(_xlfn.XLOOKUP(orders!C209,customers!$A$1:$A$1001,customers!$C$1:$C$1001,,0)=0,"",_xlfn.XLOOKUP(orders!C209,customers!$A$1:$A$1001,customers!$C$1:$C$1001,,0))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6">
        <f t="shared" si="9"/>
        <v>40.5</v>
      </c>
      <c r="N209" t="str">
        <f t="shared" si="10"/>
        <v>Arabica</v>
      </c>
      <c r="O209"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f>_xlfn.XLOOKUP(orders!C210,customers!$A$1:$A$1001,customers!$B$1:$B$1001,,0)</f>
        <v>Constance Halfhide</v>
      </c>
      <c r="G210" s="2" t="str">
        <f>IF(_xlfn.XLOOKUP(orders!C210,customers!$A$1:$A$1001,customers!$C$1:$C$1001,,0)=0,"",_xlfn.XLOOKUP(orders!C210,customers!$A$1:$A$1001,customers!$C$1:$C$1001,,0))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6">
        <f t="shared" si="9"/>
        <v>29.16</v>
      </c>
      <c r="N210" t="str">
        <f t="shared" si="10"/>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_xlfn.XLOOKUP(orders!C211,customers!$A$1:$A$1001,customers!$B$1:$B$1001,,0)</f>
        <v>Fransisco Malecky</v>
      </c>
      <c r="G211" s="2" t="str">
        <f>IF(_xlfn.XLOOKUP(orders!C211,customers!$A$1:$A$1001,customers!$C$1:$C$1001,,0)=0,"",_xlfn.XLOOKUP(orders!C211,customers!$A$1:$A$1001,customers!$C$1:$C$1001,,0))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6">
        <f t="shared" si="9"/>
        <v>6.75</v>
      </c>
      <c r="N211" t="str">
        <f t="shared" si="10"/>
        <v>Arabica</v>
      </c>
      <c r="O211"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f>_xlfn.XLOOKUP(orders!C212,customers!$A$1:$A$1001,customers!$B$1:$B$1001,,0)</f>
        <v>Anselma Attwater</v>
      </c>
      <c r="G212" s="2" t="str">
        <f>IF(_xlfn.XLOOKUP(orders!C212,customers!$A$1:$A$1001,customers!$C$1:$C$1001,,0)=0,"",_xlfn.XLOOKUP(orders!C212,customers!$A$1:$A$1001,customers!$C$1:$C$1001,,0))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6">
        <f t="shared" si="9"/>
        <v>51.8</v>
      </c>
      <c r="N212" t="str">
        <f t="shared" si="10"/>
        <v>Liberica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_xlfn.XLOOKUP(orders!C213,customers!$A$1:$A$1001,customers!$B$1:$B$1001,,0)</f>
        <v>Minette Whellans</v>
      </c>
      <c r="G213" s="2" t="str">
        <f>IF(_xlfn.XLOOKUP(orders!C213,customers!$A$1:$A$1001,customers!$C$1:$C$1001,,0)=0,"",_xlfn.XLOOKUP(orders!C213,customers!$A$1:$A$1001,customers!$C$1:$C$1001,,0))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6">
        <f t="shared" si="9"/>
        <v>53.46</v>
      </c>
      <c r="N213" t="str">
        <f t="shared" si="10"/>
        <v>Excelsa</v>
      </c>
      <c r="O213"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f>_xlfn.XLOOKUP(orders!C214,customers!$A$1:$A$1001,customers!$B$1:$B$1001,,0)</f>
        <v>Dael Camilletti</v>
      </c>
      <c r="G214" s="2" t="str">
        <f>IF(_xlfn.XLOOKUP(orders!C214,customers!$A$1:$A$1001,customers!$C$1:$C$1001,,0)=0,"",_xlfn.XLOOKUP(orders!C214,customers!$A$1:$A$1001,customers!$C$1:$C$1001,,0))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6">
        <f t="shared" si="9"/>
        <v>14.58</v>
      </c>
      <c r="N214" t="str">
        <f t="shared" si="10"/>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_xlfn.XLOOKUP(orders!C215,customers!$A$1:$A$1001,customers!$B$1:$B$1001,,0)</f>
        <v>Emiline Galgey</v>
      </c>
      <c r="G215" s="2" t="str">
        <f>IF(_xlfn.XLOOKUP(orders!C215,customers!$A$1:$A$1001,customers!$C$1:$C$1001,,0)=0,"",_xlfn.XLOOKUP(orders!C215,customers!$A$1:$A$1001,customers!$C$1:$C$1001,,0))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6">
        <f t="shared" si="9"/>
        <v>20.584999999999997</v>
      </c>
      <c r="N215" t="str">
        <f t="shared" si="10"/>
        <v>Robusta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_xlfn.XLOOKUP(orders!C216,customers!$A$1:$A$1001,customers!$B$1:$B$1001,,0)</f>
        <v>Murdock Hame</v>
      </c>
      <c r="G216" s="2" t="str">
        <f>IF(_xlfn.XLOOKUP(orders!C216,customers!$A$1:$A$1001,customers!$C$1:$C$1001,,0)=0,"",_xlfn.XLOOKUP(orders!C216,customers!$A$1:$A$1001,customers!$C$1:$C$1001,,0))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6">
        <f t="shared" si="9"/>
        <v>31.7</v>
      </c>
      <c r="N216" t="str">
        <f t="shared" si="10"/>
        <v>Liberica</v>
      </c>
      <c r="O216"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f>_xlfn.XLOOKUP(orders!C217,customers!$A$1:$A$1001,customers!$B$1:$B$1001,,0)</f>
        <v>Ilka Gurnee</v>
      </c>
      <c r="G217" s="2" t="str">
        <f>IF(_xlfn.XLOOKUP(orders!C217,customers!$A$1:$A$1001,customers!$C$1:$C$1001,,0)=0,"",_xlfn.XLOOKUP(orders!C217,customers!$A$1:$A$1001,customers!$C$1:$C$1001,,0))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6">
        <f t="shared" si="9"/>
        <v>23.31</v>
      </c>
      <c r="N217" t="str">
        <f t="shared" si="10"/>
        <v>Liberica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_xlfn.XLOOKUP(orders!C218,customers!$A$1:$A$1001,customers!$B$1:$B$1001,,0)</f>
        <v>Alfy Snowding</v>
      </c>
      <c r="G218" s="2" t="str">
        <f>IF(_xlfn.XLOOKUP(orders!C218,customers!$A$1:$A$1001,customers!$C$1:$C$1001,,0)=0,"",_xlfn.XLOOKUP(orders!C218,customers!$A$1:$A$1001,customers!$C$1:$C$1001,,0))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6">
        <f t="shared" si="9"/>
        <v>58.2</v>
      </c>
      <c r="N218" t="str">
        <f t="shared" si="10"/>
        <v>Liberica</v>
      </c>
      <c r="O218"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f>_xlfn.XLOOKUP(orders!C219,customers!$A$1:$A$1001,customers!$B$1:$B$1001,,0)</f>
        <v>Godfry Poinsett</v>
      </c>
      <c r="G219" s="2" t="str">
        <f>IF(_xlfn.XLOOKUP(orders!C219,customers!$A$1:$A$1001,customers!$C$1:$C$1001,,0)=0,"",_xlfn.XLOOKUP(orders!C219,customers!$A$1:$A$1001,customers!$C$1:$C$1001,,0))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6">
        <f t="shared" si="9"/>
        <v>35.64</v>
      </c>
      <c r="N219" t="str">
        <f t="shared" si="10"/>
        <v>Excelsa</v>
      </c>
      <c r="O219"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f>_xlfn.XLOOKUP(orders!C220,customers!$A$1:$A$1001,customers!$B$1:$B$1001,,0)</f>
        <v>Rem Furman</v>
      </c>
      <c r="G220" s="2" t="str">
        <f>IF(_xlfn.XLOOKUP(orders!C220,customers!$A$1:$A$1001,customers!$C$1:$C$1001,,0)=0,"",_xlfn.XLOOKUP(orders!C220,customers!$A$1:$A$1001,customers!$C$1:$C$1001,,0))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6">
        <f t="shared" si="9"/>
        <v>56.25</v>
      </c>
      <c r="N220" t="str">
        <f t="shared" si="10"/>
        <v>Arabica</v>
      </c>
      <c r="O220"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f>_xlfn.XLOOKUP(orders!C221,customers!$A$1:$A$1001,customers!$B$1:$B$1001,,0)</f>
        <v>Charis Crosier</v>
      </c>
      <c r="G221" s="2" t="str">
        <f>IF(_xlfn.XLOOKUP(orders!C221,customers!$A$1:$A$1001,customers!$C$1:$C$1001,,0)=0,"",_xlfn.XLOOKUP(orders!C221,customers!$A$1:$A$1001,customers!$C$1:$C$1001,,0))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6">
        <f t="shared" si="9"/>
        <v>10.754999999999999</v>
      </c>
      <c r="N221" t="str">
        <f t="shared" si="10"/>
        <v>Robusta</v>
      </c>
      <c r="O221"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f>_xlfn.XLOOKUP(orders!C222,customers!$A$1:$A$1001,customers!$B$1:$B$1001,,0)</f>
        <v>Charis Crosier</v>
      </c>
      <c r="G222" s="2" t="str">
        <f>IF(_xlfn.XLOOKUP(orders!C222,customers!$A$1:$A$1001,customers!$C$1:$C$1001,,0)=0,"",_xlfn.XLOOKUP(orders!C222,customers!$A$1:$A$1001,customers!$C$1:$C$1001,,0))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6">
        <f t="shared" si="9"/>
        <v>14.924999999999999</v>
      </c>
      <c r="N222" t="str">
        <f t="shared" si="10"/>
        <v>Robusta</v>
      </c>
      <c r="O22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f>_xlfn.XLOOKUP(orders!C223,customers!$A$1:$A$1001,customers!$B$1:$B$1001,,0)</f>
        <v>Lenka Rushmer</v>
      </c>
      <c r="G223" s="2" t="str">
        <f>IF(_xlfn.XLOOKUP(orders!C223,customers!$A$1:$A$1001,customers!$C$1:$C$1001,,0)=0,"",_xlfn.XLOOKUP(orders!C223,customers!$A$1:$A$1001,customers!$C$1:$C$1001,,0))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6">
        <f t="shared" si="9"/>
        <v>77.699999999999989</v>
      </c>
      <c r="N223" t="str">
        <f t="shared" si="10"/>
        <v>Arabica</v>
      </c>
      <c r="O223"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f>_xlfn.XLOOKUP(orders!C224,customers!$A$1:$A$1001,customers!$B$1:$B$1001,,0)</f>
        <v>Waneta Edinborough</v>
      </c>
      <c r="G224" s="2" t="str">
        <f>IF(_xlfn.XLOOKUP(orders!C224,customers!$A$1:$A$1001,customers!$C$1:$C$1001,,0)=0,"",_xlfn.XLOOKUP(orders!C224,customers!$A$1:$A$1001,customers!$C$1:$C$1001,,0))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6">
        <f t="shared" si="9"/>
        <v>23.31</v>
      </c>
      <c r="N224" t="str">
        <f t="shared" si="10"/>
        <v>Liberica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_xlfn.XLOOKUP(orders!C225,customers!$A$1:$A$1001,customers!$B$1:$B$1001,,0)</f>
        <v>Bobbe Piggott</v>
      </c>
      <c r="G225" s="2" t="str">
        <f>IF(_xlfn.XLOOKUP(orders!C225,customers!$A$1:$A$1001,customers!$C$1:$C$1001,,0)=0,"",_xlfn.XLOOKUP(orders!C225,customers!$A$1:$A$1001,customers!$C$1:$C$1001,,0))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6">
        <f t="shared" si="9"/>
        <v>59.4</v>
      </c>
      <c r="N225" t="str">
        <f t="shared" si="10"/>
        <v>Excelsa</v>
      </c>
      <c r="O225"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f>_xlfn.XLOOKUP(orders!C226,customers!$A$1:$A$1001,customers!$B$1:$B$1001,,0)</f>
        <v>Ketty Bromehead</v>
      </c>
      <c r="G226" s="2" t="str">
        <f>IF(_xlfn.XLOOKUP(orders!C226,customers!$A$1:$A$1001,customers!$C$1:$C$1001,,0)=0,"",_xlfn.XLOOKUP(orders!C226,customers!$A$1:$A$1001,customers!$C$1:$C$1001,,0))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6">
        <f t="shared" si="9"/>
        <v>119.13999999999999</v>
      </c>
      <c r="N226" t="str">
        <f t="shared" si="10"/>
        <v>Liberica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_xlfn.XLOOKUP(orders!C227,customers!$A$1:$A$1001,customers!$B$1:$B$1001,,0)</f>
        <v>Elsbeth Westerman</v>
      </c>
      <c r="G227" s="2" t="str">
        <f>IF(_xlfn.XLOOKUP(orders!C227,customers!$A$1:$A$1001,customers!$C$1:$C$1001,,0)=0,"",_xlfn.XLOOKUP(orders!C227,customers!$A$1:$A$1001,customers!$C$1:$C$1001,,0))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6">
        <f t="shared" si="9"/>
        <v>14.339999999999998</v>
      </c>
      <c r="N227" t="str">
        <f t="shared" si="10"/>
        <v>Robusta</v>
      </c>
      <c r="O227"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f>_xlfn.XLOOKUP(orders!C228,customers!$A$1:$A$1001,customers!$B$1:$B$1001,,0)</f>
        <v>Anabelle Hutchens</v>
      </c>
      <c r="G228" s="2" t="str">
        <f>IF(_xlfn.XLOOKUP(orders!C228,customers!$A$1:$A$1001,customers!$C$1:$C$1001,,0)=0,"",_xlfn.XLOOKUP(orders!C228,customers!$A$1:$A$1001,customers!$C$1:$C$1001,,0))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6">
        <f t="shared" si="9"/>
        <v>129.37499999999997</v>
      </c>
      <c r="N228" t="str">
        <f t="shared" si="10"/>
        <v>Arabica</v>
      </c>
      <c r="O228"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f>_xlfn.XLOOKUP(orders!C229,customers!$A$1:$A$1001,customers!$B$1:$B$1001,,0)</f>
        <v>Noak Wyvill</v>
      </c>
      <c r="G229" s="2" t="str">
        <f>IF(_xlfn.XLOOKUP(orders!C229,customers!$A$1:$A$1001,customers!$C$1:$C$1001,,0)=0,"",_xlfn.XLOOKUP(orders!C229,customers!$A$1:$A$1001,customers!$C$1:$C$1001,,0))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6">
        <f t="shared" si="9"/>
        <v>16.11</v>
      </c>
      <c r="N229" t="str">
        <f t="shared" si="10"/>
        <v>Robusta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_xlfn.XLOOKUP(orders!C230,customers!$A$1:$A$1001,customers!$B$1:$B$1001,,0)</f>
        <v>Beltran Mathon</v>
      </c>
      <c r="G230" s="2" t="str">
        <f>IF(_xlfn.XLOOKUP(orders!C230,customers!$A$1:$A$1001,customers!$C$1:$C$1001,,0)=0,"",_xlfn.XLOOKUP(orders!C230,customers!$A$1:$A$1001,customers!$C$1:$C$1001,,0))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6">
        <f t="shared" si="9"/>
        <v>17.924999999999997</v>
      </c>
      <c r="N230" t="str">
        <f t="shared" si="10"/>
        <v>Robusta</v>
      </c>
      <c r="O230"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f>_xlfn.XLOOKUP(orders!C231,customers!$A$1:$A$1001,customers!$B$1:$B$1001,,0)</f>
        <v>Kristos Streight</v>
      </c>
      <c r="G231" s="2" t="str">
        <f>IF(_xlfn.XLOOKUP(orders!C231,customers!$A$1:$A$1001,customers!$C$1:$C$1001,,0)=0,"",_xlfn.XLOOKUP(orders!C231,customers!$A$1:$A$1001,customers!$C$1:$C$1001,,0))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6">
        <f t="shared" si="9"/>
        <v>8.73</v>
      </c>
      <c r="N231" t="str">
        <f t="shared" si="10"/>
        <v>Liberica</v>
      </c>
      <c r="O231"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f>_xlfn.XLOOKUP(orders!C232,customers!$A$1:$A$1001,customers!$B$1:$B$1001,,0)</f>
        <v>Portie Cutchie</v>
      </c>
      <c r="G232" s="2" t="str">
        <f>IF(_xlfn.XLOOKUP(orders!C232,customers!$A$1:$A$1001,customers!$C$1:$C$1001,,0)=0,"",_xlfn.XLOOKUP(orders!C232,customers!$A$1:$A$1001,customers!$C$1:$C$1001,,0))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6">
        <f t="shared" si="9"/>
        <v>51.749999999999993</v>
      </c>
      <c r="N232" t="str">
        <f t="shared" si="10"/>
        <v>Arabica</v>
      </c>
      <c r="O23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f>_xlfn.XLOOKUP(orders!C233,customers!$A$1:$A$1001,customers!$B$1:$B$1001,,0)</f>
        <v>Sinclare Edsell</v>
      </c>
      <c r="G233" s="2" t="str">
        <f>IF(_xlfn.XLOOKUP(orders!C233,customers!$A$1:$A$1001,customers!$C$1:$C$1001,,0)=0,"",_xlfn.XLOOKUP(orders!C233,customers!$A$1:$A$1001,customers!$C$1:$C$1001,,0))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6">
        <f t="shared" si="9"/>
        <v>8.73</v>
      </c>
      <c r="N233" t="str">
        <f t="shared" si="10"/>
        <v>Liberica</v>
      </c>
      <c r="O233"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f>_xlfn.XLOOKUP(orders!C234,customers!$A$1:$A$1001,customers!$B$1:$B$1001,,0)</f>
        <v>Conny Gheraldi</v>
      </c>
      <c r="G234" s="2" t="str">
        <f>IF(_xlfn.XLOOKUP(orders!C234,customers!$A$1:$A$1001,customers!$C$1:$C$1001,,0)=0,"",_xlfn.XLOOKUP(orders!C234,customers!$A$1:$A$1001,customers!$C$1:$C$1001,,0))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6">
        <f t="shared" si="9"/>
        <v>23.774999999999999</v>
      </c>
      <c r="N234" t="str">
        <f t="shared" si="10"/>
        <v>Liberica</v>
      </c>
      <c r="O234"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f>_xlfn.XLOOKUP(orders!C235,customers!$A$1:$A$1001,customers!$B$1:$B$1001,,0)</f>
        <v>Beryle Kenwell</v>
      </c>
      <c r="G235" s="2" t="str">
        <f>IF(_xlfn.XLOOKUP(orders!C235,customers!$A$1:$A$1001,customers!$C$1:$C$1001,,0)=0,"",_xlfn.XLOOKUP(orders!C235,customers!$A$1:$A$1001,customers!$C$1:$C$1001,,0))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6">
        <f t="shared" si="9"/>
        <v>20.625</v>
      </c>
      <c r="N235" t="str">
        <f t="shared" si="10"/>
        <v>Excelsa</v>
      </c>
      <c r="O235"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f>_xlfn.XLOOKUP(orders!C236,customers!$A$1:$A$1001,customers!$B$1:$B$1001,,0)</f>
        <v>Tomas Sutty</v>
      </c>
      <c r="G236" s="2" t="str">
        <f>IF(_xlfn.XLOOKUP(orders!C236,customers!$A$1:$A$1001,customers!$C$1:$C$1001,,0)=0,"",_xlfn.XLOOKUP(orders!C236,customers!$A$1:$A$1001,customers!$C$1:$C$1001,,0))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6">
        <f t="shared" si="9"/>
        <v>36.454999999999998</v>
      </c>
      <c r="N236" t="str">
        <f t="shared" si="10"/>
        <v>Liberica</v>
      </c>
      <c r="O236"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f>_xlfn.XLOOKUP(orders!C237,customers!$A$1:$A$1001,customers!$B$1:$B$1001,,0)</f>
        <v>Samuele Ales0</v>
      </c>
      <c r="G237" s="2" t="str">
        <f>IF(_xlfn.XLOOKUP(orders!C237,customers!$A$1:$A$1001,customers!$C$1:$C$1001,,0)=0,"",_xlfn.XLOOKUP(orders!C237,customers!$A$1:$A$1001,customers!$C$1:$C$1001,,0))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6">
        <f t="shared" si="9"/>
        <v>182.27499999999998</v>
      </c>
      <c r="N237" t="str">
        <f t="shared" si="10"/>
        <v>Liberica</v>
      </c>
      <c r="O237"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f>_xlfn.XLOOKUP(orders!C238,customers!$A$1:$A$1001,customers!$B$1:$B$1001,,0)</f>
        <v>Carlie Harce</v>
      </c>
      <c r="G238" s="2" t="str">
        <f>IF(_xlfn.XLOOKUP(orders!C238,customers!$A$1:$A$1001,customers!$C$1:$C$1001,,0)=0,"",_xlfn.XLOOKUP(orders!C238,customers!$A$1:$A$1001,customers!$C$1:$C$1001,,0))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6">
        <f t="shared" si="9"/>
        <v>89.35499999999999</v>
      </c>
      <c r="N238" t="str">
        <f t="shared" si="10"/>
        <v>Liberica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_xlfn.XLOOKUP(orders!C239,customers!$A$1:$A$1001,customers!$B$1:$B$1001,,0)</f>
        <v>Craggy Bril</v>
      </c>
      <c r="G239" s="2" t="str">
        <f>IF(_xlfn.XLOOKUP(orders!C239,customers!$A$1:$A$1001,customers!$C$1:$C$1001,,0)=0,"",_xlfn.XLOOKUP(orders!C239,customers!$A$1:$A$1001,customers!$C$1:$C$1001,,0))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6">
        <f t="shared" si="9"/>
        <v>3.5849999999999995</v>
      </c>
      <c r="N239" t="str">
        <f t="shared" si="10"/>
        <v>Robusta</v>
      </c>
      <c r="O239"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f>_xlfn.XLOOKUP(orders!C240,customers!$A$1:$A$1001,customers!$B$1:$B$1001,,0)</f>
        <v>Friederike Drysdale</v>
      </c>
      <c r="G240" s="2" t="str">
        <f>IF(_xlfn.XLOOKUP(orders!C240,customers!$A$1:$A$1001,customers!$C$1:$C$1001,,0)=0,"",_xlfn.XLOOKUP(orders!C240,customers!$A$1:$A$1001,customers!$C$1:$C$1001,,0))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6">
        <f t="shared" si="9"/>
        <v>45.769999999999996</v>
      </c>
      <c r="N240" t="str">
        <f t="shared" si="10"/>
        <v>Robusta</v>
      </c>
      <c r="O240"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f>_xlfn.XLOOKUP(orders!C241,customers!$A$1:$A$1001,customers!$B$1:$B$1001,,0)</f>
        <v>Devon Magowan</v>
      </c>
      <c r="G241" s="2" t="str">
        <f>IF(_xlfn.XLOOKUP(orders!C241,customers!$A$1:$A$1001,customers!$C$1:$C$1001,,0)=0,"",_xlfn.XLOOKUP(orders!C241,customers!$A$1:$A$1001,customers!$C$1:$C$1001,,0))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6">
        <f t="shared" si="9"/>
        <v>59.4</v>
      </c>
      <c r="N241" t="str">
        <f t="shared" si="10"/>
        <v>Excelsa</v>
      </c>
      <c r="O241"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f>_xlfn.XLOOKUP(orders!C242,customers!$A$1:$A$1001,customers!$B$1:$B$1001,,0)</f>
        <v>Codi Littrell</v>
      </c>
      <c r="G242" s="2" t="str">
        <f>IF(_xlfn.XLOOKUP(orders!C242,customers!$A$1:$A$1001,customers!$C$1:$C$1001,,0)=0,"",_xlfn.XLOOKUP(orders!C242,customers!$A$1:$A$1001,customers!$C$1:$C$1001,,0))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6">
        <f t="shared" si="9"/>
        <v>155.24999999999997</v>
      </c>
      <c r="N242" t="str">
        <f t="shared" si="10"/>
        <v>Arabica</v>
      </c>
      <c r="O24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f>_xlfn.XLOOKUP(orders!C243,customers!$A$1:$A$1001,customers!$B$1:$B$1001,,0)</f>
        <v>Christel Speak</v>
      </c>
      <c r="G243" s="2" t="str">
        <f>IF(_xlfn.XLOOKUP(orders!C243,customers!$A$1:$A$1001,customers!$C$1:$C$1001,,0)=0,"",_xlfn.XLOOKUP(orders!C243,customers!$A$1:$A$1001,customers!$C$1:$C$1001,,0))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6">
        <f t="shared" si="9"/>
        <v>45.769999999999996</v>
      </c>
      <c r="N243" t="str">
        <f t="shared" si="10"/>
        <v>Robusta</v>
      </c>
      <c r="O243"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f>_xlfn.XLOOKUP(orders!C244,customers!$A$1:$A$1001,customers!$B$1:$B$1001,,0)</f>
        <v>Sibella Rushbrooke</v>
      </c>
      <c r="G244" s="2" t="str">
        <f>IF(_xlfn.XLOOKUP(orders!C244,customers!$A$1:$A$1001,customers!$C$1:$C$1001,,0)=0,"",_xlfn.XLOOKUP(orders!C244,customers!$A$1:$A$1001,customers!$C$1:$C$1001,,0))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6">
        <f t="shared" si="9"/>
        <v>36.450000000000003</v>
      </c>
      <c r="N244" t="str">
        <f t="shared" si="10"/>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_xlfn.XLOOKUP(orders!C245,customers!$A$1:$A$1001,customers!$B$1:$B$1001,,0)</f>
        <v>Tammie Drynan</v>
      </c>
      <c r="G245" s="2" t="str">
        <f>IF(_xlfn.XLOOKUP(orders!C245,customers!$A$1:$A$1001,customers!$C$1:$C$1001,,0)=0,"",_xlfn.XLOOKUP(orders!C245,customers!$A$1:$A$1001,customers!$C$1:$C$1001,,0))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6">
        <f t="shared" si="9"/>
        <v>29.16</v>
      </c>
      <c r="N245" t="str">
        <f t="shared" si="10"/>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_xlfn.XLOOKUP(orders!C246,customers!$A$1:$A$1001,customers!$B$1:$B$1001,,0)</f>
        <v>Effie Yurkov</v>
      </c>
      <c r="G246" s="2" t="str">
        <f>IF(_xlfn.XLOOKUP(orders!C246,customers!$A$1:$A$1001,customers!$C$1:$C$1001,,0)=0,"",_xlfn.XLOOKUP(orders!C246,customers!$A$1:$A$1001,customers!$C$1:$C$1001,,0))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6">
        <f t="shared" si="9"/>
        <v>133.85999999999999</v>
      </c>
      <c r="N246" t="str">
        <f t="shared" si="10"/>
        <v>Liberica</v>
      </c>
      <c r="O246"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f>_xlfn.XLOOKUP(orders!C247,customers!$A$1:$A$1001,customers!$B$1:$B$1001,,0)</f>
        <v>Lexie Mallan</v>
      </c>
      <c r="G247" s="2" t="str">
        <f>IF(_xlfn.XLOOKUP(orders!C247,customers!$A$1:$A$1001,customers!$C$1:$C$1001,,0)=0,"",_xlfn.XLOOKUP(orders!C247,customers!$A$1:$A$1001,customers!$C$1:$C$1001,,0))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6">
        <f t="shared" si="9"/>
        <v>23.774999999999999</v>
      </c>
      <c r="N247" t="str">
        <f t="shared" si="10"/>
        <v>Liberica</v>
      </c>
      <c r="O247"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f>_xlfn.XLOOKUP(orders!C248,customers!$A$1:$A$1001,customers!$B$1:$B$1001,,0)</f>
        <v>Georgena Bentjens</v>
      </c>
      <c r="G248" s="2" t="str">
        <f>IF(_xlfn.XLOOKUP(orders!C248,customers!$A$1:$A$1001,customers!$C$1:$C$1001,,0)=0,"",_xlfn.XLOOKUP(orders!C248,customers!$A$1:$A$1001,customers!$C$1:$C$1001,,0))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6">
        <f t="shared" si="9"/>
        <v>38.849999999999994</v>
      </c>
      <c r="N248" t="str">
        <f t="shared" si="10"/>
        <v>Liberica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_xlfn.XLOOKUP(orders!C249,customers!$A$1:$A$1001,customers!$B$1:$B$1001,,0)</f>
        <v>Delmar Beasant</v>
      </c>
      <c r="G249" s="2" t="str">
        <f>IF(_xlfn.XLOOKUP(orders!C249,customers!$A$1:$A$1001,customers!$C$1:$C$1001,,0)=0,"",_xlfn.XLOOKUP(orders!C249,customers!$A$1:$A$1001,customers!$C$1:$C$1001,,0))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6">
        <f t="shared" si="9"/>
        <v>21.509999999999998</v>
      </c>
      <c r="N249" t="str">
        <f t="shared" si="10"/>
        <v>Robusta</v>
      </c>
      <c r="O249"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f>_xlfn.XLOOKUP(orders!C250,customers!$A$1:$A$1001,customers!$B$1:$B$1001,,0)</f>
        <v>Lyn Entwistle</v>
      </c>
      <c r="G250" s="2" t="str">
        <f>IF(_xlfn.XLOOKUP(orders!C250,customers!$A$1:$A$1001,customers!$C$1:$C$1001,,0)=0,"",_xlfn.XLOOKUP(orders!C250,customers!$A$1:$A$1001,customers!$C$1:$C$1001,,0))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6">
        <f t="shared" si="9"/>
        <v>9.9499999999999993</v>
      </c>
      <c r="N250" t="str">
        <f t="shared" si="10"/>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_xlfn.XLOOKUP(orders!C251,customers!$A$1:$A$1001,customers!$B$1:$B$1001,,0)</f>
        <v>Zacharias Kiffe</v>
      </c>
      <c r="G251" s="2" t="str">
        <f>IF(_xlfn.XLOOKUP(orders!C251,customers!$A$1:$A$1001,customers!$C$1:$C$1001,,0)=0,"",_xlfn.XLOOKUP(orders!C251,customers!$A$1:$A$1001,customers!$C$1:$C$1001,,0))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6">
        <f t="shared" si="9"/>
        <v>15.85</v>
      </c>
      <c r="N251" t="str">
        <f t="shared" si="10"/>
        <v>Liberica</v>
      </c>
      <c r="O251"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f>_xlfn.XLOOKUP(orders!C252,customers!$A$1:$A$1001,customers!$B$1:$B$1001,,0)</f>
        <v>Mercedes Acott</v>
      </c>
      <c r="G252" s="2" t="str">
        <f>IF(_xlfn.XLOOKUP(orders!C252,customers!$A$1:$A$1001,customers!$C$1:$C$1001,,0)=0,"",_xlfn.XLOOKUP(orders!C252,customers!$A$1:$A$1001,customers!$C$1:$C$1001,,0))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6">
        <f t="shared" si="9"/>
        <v>2.9849999999999999</v>
      </c>
      <c r="N252" t="str">
        <f t="shared" si="10"/>
        <v>Robusta</v>
      </c>
      <c r="O25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f>_xlfn.XLOOKUP(orders!C253,customers!$A$1:$A$1001,customers!$B$1:$B$1001,,0)</f>
        <v>Connor Heaviside</v>
      </c>
      <c r="G253" s="2" t="str">
        <f>IF(_xlfn.XLOOKUP(orders!C253,customers!$A$1:$A$1001,customers!$C$1:$C$1001,,0)=0,"",_xlfn.XLOOKUP(orders!C253,customers!$A$1:$A$1001,customers!$C$1:$C$1001,,0))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6">
        <f t="shared" si="9"/>
        <v>68.75</v>
      </c>
      <c r="N253" t="str">
        <f t="shared" si="10"/>
        <v>Excelsa</v>
      </c>
      <c r="O253"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f>_xlfn.XLOOKUP(orders!C254,customers!$A$1:$A$1001,customers!$B$1:$B$1001,,0)</f>
        <v>Devy Bulbrook</v>
      </c>
      <c r="G254" s="2" t="str">
        <f>IF(_xlfn.XLOOKUP(orders!C254,customers!$A$1:$A$1001,customers!$C$1:$C$1001,,0)=0,"",_xlfn.XLOOKUP(orders!C254,customers!$A$1:$A$1001,customers!$C$1:$C$1001,,0))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6">
        <f t="shared" si="9"/>
        <v>29.849999999999998</v>
      </c>
      <c r="N254" t="str">
        <f t="shared" si="10"/>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_xlfn.XLOOKUP(orders!C255,customers!$A$1:$A$1001,customers!$B$1:$B$1001,,0)</f>
        <v>Leia Kernan</v>
      </c>
      <c r="G255" s="2" t="str">
        <f>IF(_xlfn.XLOOKUP(orders!C255,customers!$A$1:$A$1001,customers!$C$1:$C$1001,,0)=0,"",_xlfn.XLOOKUP(orders!C255,customers!$A$1:$A$1001,customers!$C$1:$C$1001,,0))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6">
        <f t="shared" si="9"/>
        <v>58.2</v>
      </c>
      <c r="N255" t="str">
        <f t="shared" si="10"/>
        <v>Liberica</v>
      </c>
      <c r="O255"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f>_xlfn.XLOOKUP(orders!C256,customers!$A$1:$A$1001,customers!$B$1:$B$1001,,0)</f>
        <v>Rosaline McLae</v>
      </c>
      <c r="G256" s="2" t="str">
        <f>IF(_xlfn.XLOOKUP(orders!C256,customers!$A$1:$A$1001,customers!$C$1:$C$1001,,0)=0,"",_xlfn.XLOOKUP(orders!C256,customers!$A$1:$A$1001,customers!$C$1:$C$1001,,0))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6">
        <f t="shared" si="9"/>
        <v>28.679999999999996</v>
      </c>
      <c r="N256" t="str">
        <f t="shared" si="10"/>
        <v>Robusta</v>
      </c>
      <c r="O256"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f>_xlfn.XLOOKUP(orders!C257,customers!$A$1:$A$1001,customers!$B$1:$B$1001,,0)</f>
        <v>Cleve Blowfelde</v>
      </c>
      <c r="G257" s="2" t="str">
        <f>IF(_xlfn.XLOOKUP(orders!C257,customers!$A$1:$A$1001,customers!$C$1:$C$1001,,0)=0,"",_xlfn.XLOOKUP(orders!C257,customers!$A$1:$A$1001,customers!$C$1:$C$1001,,0))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6">
        <f t="shared" si="9"/>
        <v>21.509999999999998</v>
      </c>
      <c r="N257" t="str">
        <f t="shared" si="10"/>
        <v>Robusta</v>
      </c>
      <c r="O257"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f>_xlfn.XLOOKUP(orders!C258,customers!$A$1:$A$1001,customers!$B$1:$B$1001,,0)</f>
        <v>Zacharias Kiffe</v>
      </c>
      <c r="G258" s="2" t="str">
        <f>IF(_xlfn.XLOOKUP(orders!C258,customers!$A$1:$A$1001,customers!$C$1:$C$1001,,0)=0,"",_xlfn.XLOOKUP(orders!C258,customers!$A$1:$A$1001,customers!$C$1:$C$1001,,0))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6">
        <f t="shared" si="9"/>
        <v>17.46</v>
      </c>
      <c r="N258" t="str">
        <f t="shared" si="10"/>
        <v>Liberica</v>
      </c>
      <c r="O258"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f>_xlfn.XLOOKUP(orders!C259,customers!$A$1:$A$1001,customers!$B$1:$B$1001,,0)</f>
        <v>Denyse O'Calleran</v>
      </c>
      <c r="G259" s="2" t="str">
        <f>IF(_xlfn.XLOOKUP(orders!C259,customers!$A$1:$A$1001,customers!$C$1:$C$1001,,0)=0,"",_xlfn.XLOOKUP(orders!C259,customers!$A$1:$A$1001,customers!$C$1:$C$1001,,0))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6">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_xlfn.XLOOKUP(orders!C260,customers!$A$1:$A$1001,customers!$B$1:$B$1001,,0)</f>
        <v>Cobby Cromwell</v>
      </c>
      <c r="G260" s="2" t="str">
        <f>IF(_xlfn.XLOOKUP(orders!C260,customers!$A$1:$A$1001,customers!$C$1:$C$1001,,0)=0,"",_xlfn.XLOOKUP(orders!C260,customers!$A$1:$A$1001,customers!$C$1:$C$1001,,0))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6">
        <f t="shared" si="12"/>
        <v>139.72499999999999</v>
      </c>
      <c r="N260" t="str">
        <f t="shared" si="13"/>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_xlfn.XLOOKUP(orders!C261,customers!$A$1:$A$1001,customers!$B$1:$B$1001,,0)</f>
        <v>Irv Hay</v>
      </c>
      <c r="G261" s="2" t="str">
        <f>IF(_xlfn.XLOOKUP(orders!C261,customers!$A$1:$A$1001,customers!$C$1:$C$1001,,0)=0,"",_xlfn.XLOOKUP(orders!C261,customers!$A$1:$A$1001,customers!$C$1:$C$1001,,0))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6">
        <f t="shared" si="12"/>
        <v>5.97</v>
      </c>
      <c r="N261" t="str">
        <f t="shared" si="13"/>
        <v>Robusta</v>
      </c>
      <c r="O261"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f>_xlfn.XLOOKUP(orders!C262,customers!$A$1:$A$1001,customers!$B$1:$B$1001,,0)</f>
        <v>Tani Taffarello</v>
      </c>
      <c r="G262" s="2" t="str">
        <f>IF(_xlfn.XLOOKUP(orders!C262,customers!$A$1:$A$1001,customers!$C$1:$C$1001,,0)=0,"",_xlfn.XLOOKUP(orders!C262,customers!$A$1:$A$1001,customers!$C$1:$C$1001,,0))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6">
        <f t="shared" si="12"/>
        <v>27.484999999999996</v>
      </c>
      <c r="N262" t="str">
        <f t="shared" si="13"/>
        <v>Robusta</v>
      </c>
      <c r="O26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f>_xlfn.XLOOKUP(orders!C263,customers!$A$1:$A$1001,customers!$B$1:$B$1001,,0)</f>
        <v>Monique Canty</v>
      </c>
      <c r="G263" s="2" t="str">
        <f>IF(_xlfn.XLOOKUP(orders!C263,customers!$A$1:$A$1001,customers!$C$1:$C$1001,,0)=0,"",_xlfn.XLOOKUP(orders!C263,customers!$A$1:$A$1001,customers!$C$1:$C$1001,,0))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6">
        <f t="shared" si="12"/>
        <v>59.75</v>
      </c>
      <c r="N263" t="str">
        <f t="shared" si="13"/>
        <v>Robusta</v>
      </c>
      <c r="O263"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f>_xlfn.XLOOKUP(orders!C264,customers!$A$1:$A$1001,customers!$B$1:$B$1001,,0)</f>
        <v>Javier Kopke</v>
      </c>
      <c r="G264" s="2" t="str">
        <f>IF(_xlfn.XLOOKUP(orders!C264,customers!$A$1:$A$1001,customers!$C$1:$C$1001,,0)=0,"",_xlfn.XLOOKUP(orders!C264,customers!$A$1:$A$1001,customers!$C$1:$C$1001,,0))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6">
        <f t="shared" si="12"/>
        <v>41.25</v>
      </c>
      <c r="N264" t="str">
        <f t="shared" si="13"/>
        <v>Excelsa</v>
      </c>
      <c r="O264"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f>_xlfn.XLOOKUP(orders!C265,customers!$A$1:$A$1001,customers!$B$1:$B$1001,,0)</f>
        <v>Mar McIver</v>
      </c>
      <c r="G265" s="2" t="str">
        <f>IF(_xlfn.XLOOKUP(orders!C265,customers!$A$1:$A$1001,customers!$C$1:$C$1001,,0)=0,"",_xlfn.XLOOKUP(orders!C265,customers!$A$1:$A$1001,customers!$C$1:$C$1001,,0))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6">
        <f t="shared" si="12"/>
        <v>133.85999999999999</v>
      </c>
      <c r="N265" t="str">
        <f t="shared" si="13"/>
        <v>Liberica</v>
      </c>
      <c r="O265"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f>_xlfn.XLOOKUP(orders!C266,customers!$A$1:$A$1001,customers!$B$1:$B$1001,,0)</f>
        <v>Arabella Fransewich</v>
      </c>
      <c r="G266" s="2" t="str">
        <f>IF(_xlfn.XLOOKUP(orders!C266,customers!$A$1:$A$1001,customers!$C$1:$C$1001,,0)=0,"",_xlfn.XLOOKUP(orders!C266,customers!$A$1:$A$1001,customers!$C$1:$C$1001,,0))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6">
        <f t="shared" si="12"/>
        <v>59.75</v>
      </c>
      <c r="N266" t="str">
        <f t="shared" si="13"/>
        <v>Robusta</v>
      </c>
      <c r="O266"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f>_xlfn.XLOOKUP(orders!C267,customers!$A$1:$A$1001,customers!$B$1:$B$1001,,0)</f>
        <v>Violette Hellmore</v>
      </c>
      <c r="G267" s="2" t="str">
        <f>IF(_xlfn.XLOOKUP(orders!C267,customers!$A$1:$A$1001,customers!$C$1:$C$1001,,0)=0,"",_xlfn.XLOOKUP(orders!C267,customers!$A$1:$A$1001,customers!$C$1:$C$1001,,0))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6">
        <f t="shared" si="12"/>
        <v>5.97</v>
      </c>
      <c r="N267" t="str">
        <f t="shared" si="13"/>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_xlfn.XLOOKUP(orders!C268,customers!$A$1:$A$1001,customers!$B$1:$B$1001,,0)</f>
        <v>Myles Seawright</v>
      </c>
      <c r="G268" s="2" t="str">
        <f>IF(_xlfn.XLOOKUP(orders!C268,customers!$A$1:$A$1001,customers!$C$1:$C$1001,,0)=0,"",_xlfn.XLOOKUP(orders!C268,customers!$A$1:$A$1001,customers!$C$1:$C$1001,,0))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6">
        <f t="shared" si="12"/>
        <v>24.3</v>
      </c>
      <c r="N268" t="str">
        <f t="shared" si="13"/>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_xlfn.XLOOKUP(orders!C269,customers!$A$1:$A$1001,customers!$B$1:$B$1001,,0)</f>
        <v>Silvana Northeast</v>
      </c>
      <c r="G269" s="2" t="str">
        <f>IF(_xlfn.XLOOKUP(orders!C269,customers!$A$1:$A$1001,customers!$C$1:$C$1001,,0)=0,"",_xlfn.XLOOKUP(orders!C269,customers!$A$1:$A$1001,customers!$C$1:$C$1001,,0))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6">
        <f t="shared" si="12"/>
        <v>21.87</v>
      </c>
      <c r="N269" t="str">
        <f t="shared" si="13"/>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_xlfn.XLOOKUP(orders!C270,customers!$A$1:$A$1001,customers!$B$1:$B$1001,,0)</f>
        <v>Anselma Attwater</v>
      </c>
      <c r="G270" s="2" t="str">
        <f>IF(_xlfn.XLOOKUP(orders!C270,customers!$A$1:$A$1001,customers!$C$1:$C$1001,,0)=0,"",_xlfn.XLOOKUP(orders!C270,customers!$A$1:$A$1001,customers!$C$1:$C$1001,,0))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6">
        <f t="shared" si="12"/>
        <v>19.899999999999999</v>
      </c>
      <c r="N270" t="str">
        <f t="shared" si="13"/>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_xlfn.XLOOKUP(orders!C271,customers!$A$1:$A$1001,customers!$B$1:$B$1001,,0)</f>
        <v>Monica Fearon</v>
      </c>
      <c r="G271" s="2" t="str">
        <f>IF(_xlfn.XLOOKUP(orders!C271,customers!$A$1:$A$1001,customers!$C$1:$C$1001,,0)=0,"",_xlfn.XLOOKUP(orders!C271,customers!$A$1:$A$1001,customers!$C$1:$C$1001,,0))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6">
        <f t="shared" si="12"/>
        <v>5.97</v>
      </c>
      <c r="N271" t="str">
        <f t="shared" si="13"/>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_xlfn.XLOOKUP(orders!C272,customers!$A$1:$A$1001,customers!$B$1:$B$1001,,0)</f>
        <v>Barney Chisnell</v>
      </c>
      <c r="G272" s="2" t="str">
        <f>IF(_xlfn.XLOOKUP(orders!C272,customers!$A$1:$A$1001,customers!$C$1:$C$1001,,0)=0,"",_xlfn.XLOOKUP(orders!C272,customers!$A$1:$A$1001,customers!$C$1:$C$1001,,0))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6">
        <f t="shared" si="12"/>
        <v>7.29</v>
      </c>
      <c r="N272" t="str">
        <f t="shared" si="13"/>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_xlfn.XLOOKUP(orders!C273,customers!$A$1:$A$1001,customers!$B$1:$B$1001,,0)</f>
        <v>Jasper Sisneros</v>
      </c>
      <c r="G273" s="2" t="str">
        <f>IF(_xlfn.XLOOKUP(orders!C273,customers!$A$1:$A$1001,customers!$C$1:$C$1001,,0)=0,"",_xlfn.XLOOKUP(orders!C273,customers!$A$1:$A$1001,customers!$C$1:$C$1001,,0))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6">
        <f t="shared" si="12"/>
        <v>11.94</v>
      </c>
      <c r="N273" t="str">
        <f t="shared" si="13"/>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_xlfn.XLOOKUP(orders!C274,customers!$A$1:$A$1001,customers!$B$1:$B$1001,,0)</f>
        <v>Zachariah Carlson</v>
      </c>
      <c r="G274" s="2" t="str">
        <f>IF(_xlfn.XLOOKUP(orders!C274,customers!$A$1:$A$1001,customers!$C$1:$C$1001,,0)=0,"",_xlfn.XLOOKUP(orders!C274,customers!$A$1:$A$1001,customers!$C$1:$C$1001,,0))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6">
        <f t="shared" si="12"/>
        <v>71.699999999999989</v>
      </c>
      <c r="N274" t="str">
        <f t="shared" si="13"/>
        <v>Robusta</v>
      </c>
      <c r="O274"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f>_xlfn.XLOOKUP(orders!C275,customers!$A$1:$A$1001,customers!$B$1:$B$1001,,0)</f>
        <v>Warner Maddox</v>
      </c>
      <c r="G275" s="2" t="str">
        <f>IF(_xlfn.XLOOKUP(orders!C275,customers!$A$1:$A$1001,customers!$C$1:$C$1001,,0)=0,"",_xlfn.XLOOKUP(orders!C275,customers!$A$1:$A$1001,customers!$C$1:$C$1001,,0))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6">
        <f t="shared" si="12"/>
        <v>7.77</v>
      </c>
      <c r="N275" t="str">
        <f t="shared" si="13"/>
        <v>Arabica</v>
      </c>
      <c r="O275"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f>_xlfn.XLOOKUP(orders!C276,customers!$A$1:$A$1001,customers!$B$1:$B$1001,,0)</f>
        <v>Donnie Hedlestone</v>
      </c>
      <c r="G276" s="2" t="str">
        <f>IF(_xlfn.XLOOKUP(orders!C276,customers!$A$1:$A$1001,customers!$C$1:$C$1001,,0)=0,"",_xlfn.XLOOKUP(orders!C276,customers!$A$1:$A$1001,customers!$C$1:$C$1001,,0))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6">
        <f t="shared" si="12"/>
        <v>25.874999999999996</v>
      </c>
      <c r="N276" t="str">
        <f t="shared" si="13"/>
        <v>Arabica</v>
      </c>
      <c r="O276"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f>_xlfn.XLOOKUP(orders!C277,customers!$A$1:$A$1001,customers!$B$1:$B$1001,,0)</f>
        <v>Teddi Crowthe</v>
      </c>
      <c r="G277" s="2" t="str">
        <f>IF(_xlfn.XLOOKUP(orders!C277,customers!$A$1:$A$1001,customers!$C$1:$C$1001,,0)=0,"",_xlfn.XLOOKUP(orders!C277,customers!$A$1:$A$1001,customers!$C$1:$C$1001,,0))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6">
        <f t="shared" si="12"/>
        <v>204.92999999999995</v>
      </c>
      <c r="N277" t="str">
        <f t="shared" si="13"/>
        <v>Excelsa</v>
      </c>
      <c r="O277"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f>_xlfn.XLOOKUP(orders!C278,customers!$A$1:$A$1001,customers!$B$1:$B$1001,,0)</f>
        <v>Dorelia Bury</v>
      </c>
      <c r="G278" s="2" t="str">
        <f>IF(_xlfn.XLOOKUP(orders!C278,customers!$A$1:$A$1001,customers!$C$1:$C$1001,,0)=0,"",_xlfn.XLOOKUP(orders!C278,customers!$A$1:$A$1001,customers!$C$1:$C$1001,,0))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6">
        <f t="shared" si="12"/>
        <v>109.93999999999998</v>
      </c>
      <c r="N278" t="str">
        <f t="shared" si="13"/>
        <v>Robusta</v>
      </c>
      <c r="O278"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f>_xlfn.XLOOKUP(orders!C279,customers!$A$1:$A$1001,customers!$B$1:$B$1001,,0)</f>
        <v>Gussy Broadbear</v>
      </c>
      <c r="G279" s="2" t="str">
        <f>IF(_xlfn.XLOOKUP(orders!C279,customers!$A$1:$A$1001,customers!$C$1:$C$1001,,0)=0,"",_xlfn.XLOOKUP(orders!C279,customers!$A$1:$A$1001,customers!$C$1:$C$1001,,0))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6">
        <f t="shared" si="12"/>
        <v>89.1</v>
      </c>
      <c r="N279" t="str">
        <f t="shared" si="13"/>
        <v>Excelsa</v>
      </c>
      <c r="O279"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f>_xlfn.XLOOKUP(orders!C280,customers!$A$1:$A$1001,customers!$B$1:$B$1001,,0)</f>
        <v>Emlynne Palfrey</v>
      </c>
      <c r="G280" s="2" t="str">
        <f>IF(_xlfn.XLOOKUP(orders!C280,customers!$A$1:$A$1001,customers!$C$1:$C$1001,,0)=0,"",_xlfn.XLOOKUP(orders!C280,customers!$A$1:$A$1001,customers!$C$1:$C$1001,,0))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6">
        <f t="shared" si="12"/>
        <v>7.77</v>
      </c>
      <c r="N280" t="str">
        <f t="shared" si="13"/>
        <v>Arabica</v>
      </c>
      <c r="O280"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f>_xlfn.XLOOKUP(orders!C281,customers!$A$1:$A$1001,customers!$B$1:$B$1001,,0)</f>
        <v>Parsifal Metrick</v>
      </c>
      <c r="G281" s="2" t="str">
        <f>IF(_xlfn.XLOOKUP(orders!C281,customers!$A$1:$A$1001,customers!$C$1:$C$1001,,0)=0,"",_xlfn.XLOOKUP(orders!C281,customers!$A$1:$A$1001,customers!$C$1:$C$1001,,0))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6">
        <f t="shared" si="12"/>
        <v>33.464999999999996</v>
      </c>
      <c r="N281" t="str">
        <f t="shared" si="13"/>
        <v>Liberica</v>
      </c>
      <c r="O281"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f>_xlfn.XLOOKUP(orders!C282,customers!$A$1:$A$1001,customers!$B$1:$B$1001,,0)</f>
        <v>Christopher Grieveson</v>
      </c>
      <c r="G282" s="2" t="str">
        <f>IF(_xlfn.XLOOKUP(orders!C282,customers!$A$1:$A$1001,customers!$C$1:$C$1001,,0)=0,"",_xlfn.XLOOKUP(orders!C282,customers!$A$1:$A$1001,customers!$C$1:$C$1001,,0))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6">
        <f t="shared" si="12"/>
        <v>41.25</v>
      </c>
      <c r="N282" t="str">
        <f t="shared" si="13"/>
        <v>Excelsa</v>
      </c>
      <c r="O28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f>_xlfn.XLOOKUP(orders!C283,customers!$A$1:$A$1001,customers!$B$1:$B$1001,,0)</f>
        <v>Karlan Karby</v>
      </c>
      <c r="G283" s="2" t="str">
        <f>IF(_xlfn.XLOOKUP(orders!C283,customers!$A$1:$A$1001,customers!$C$1:$C$1001,,0)=0,"",_xlfn.XLOOKUP(orders!C283,customers!$A$1:$A$1001,customers!$C$1:$C$1001,,0))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6">
        <f t="shared" si="12"/>
        <v>59.4</v>
      </c>
      <c r="N283" t="str">
        <f t="shared" si="13"/>
        <v>Excelsa</v>
      </c>
      <c r="O283"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f>_xlfn.XLOOKUP(orders!C284,customers!$A$1:$A$1001,customers!$B$1:$B$1001,,0)</f>
        <v>Flory Crumpe</v>
      </c>
      <c r="G284" s="2" t="str">
        <f>IF(_xlfn.XLOOKUP(orders!C284,customers!$A$1:$A$1001,customers!$C$1:$C$1001,,0)=0,"",_xlfn.XLOOKUP(orders!C284,customers!$A$1:$A$1001,customers!$C$1:$C$1001,,0))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6">
        <f t="shared" si="12"/>
        <v>7.77</v>
      </c>
      <c r="N284" t="str">
        <f t="shared" si="13"/>
        <v>Arabica</v>
      </c>
      <c r="O284"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f>_xlfn.XLOOKUP(orders!C285,customers!$A$1:$A$1001,customers!$B$1:$B$1001,,0)</f>
        <v>Amity Chatto</v>
      </c>
      <c r="G285" s="2" t="str">
        <f>IF(_xlfn.XLOOKUP(orders!C285,customers!$A$1:$A$1001,customers!$C$1:$C$1001,,0)=0,"",_xlfn.XLOOKUP(orders!C285,customers!$A$1:$A$1001,customers!$C$1:$C$1001,,0))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6">
        <f t="shared" si="12"/>
        <v>5.3699999999999992</v>
      </c>
      <c r="N285" t="str">
        <f t="shared" si="13"/>
        <v>Robusta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_xlfn.XLOOKUP(orders!C286,customers!$A$1:$A$1001,customers!$B$1:$B$1001,,0)</f>
        <v>Nanine McCarthy</v>
      </c>
      <c r="G286" s="2" t="str">
        <f>IF(_xlfn.XLOOKUP(orders!C286,customers!$A$1:$A$1001,customers!$C$1:$C$1001,,0)=0,"",_xlfn.XLOOKUP(orders!C286,customers!$A$1:$A$1001,customers!$C$1:$C$1001,,0))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6">
        <f t="shared" si="12"/>
        <v>94.874999999999986</v>
      </c>
      <c r="N286" t="str">
        <f t="shared" si="13"/>
        <v>Excelsa</v>
      </c>
      <c r="O286"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f>_xlfn.XLOOKUP(orders!C287,customers!$A$1:$A$1001,customers!$B$1:$B$1001,,0)</f>
        <v>Lyndsey Megany</v>
      </c>
      <c r="G287" s="2" t="str">
        <f>IF(_xlfn.XLOOKUP(orders!C287,customers!$A$1:$A$1001,customers!$C$1:$C$1001,,0)=0,"",_xlfn.XLOOKUP(orders!C287,customers!$A$1:$A$1001,customers!$C$1:$C$1001,,0))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6">
        <f t="shared" si="12"/>
        <v>36.454999999999998</v>
      </c>
      <c r="N287" t="str">
        <f t="shared" si="13"/>
        <v>Liberica</v>
      </c>
      <c r="O287"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f>_xlfn.XLOOKUP(orders!C288,customers!$A$1:$A$1001,customers!$B$1:$B$1001,,0)</f>
        <v>Byram Mergue</v>
      </c>
      <c r="G288" s="2" t="str">
        <f>IF(_xlfn.XLOOKUP(orders!C288,customers!$A$1:$A$1001,customers!$C$1:$C$1001,,0)=0,"",_xlfn.XLOOKUP(orders!C288,customers!$A$1:$A$1001,customers!$C$1:$C$1001,,0))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6">
        <f t="shared" si="12"/>
        <v>13.5</v>
      </c>
      <c r="N288" t="str">
        <f t="shared" si="13"/>
        <v>Arabica</v>
      </c>
      <c r="O288"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f>_xlfn.XLOOKUP(orders!C289,customers!$A$1:$A$1001,customers!$B$1:$B$1001,,0)</f>
        <v>Kerr Patise</v>
      </c>
      <c r="G289" s="2" t="str">
        <f>IF(_xlfn.XLOOKUP(orders!C289,customers!$A$1:$A$1001,customers!$C$1:$C$1001,,0)=0,"",_xlfn.XLOOKUP(orders!C289,customers!$A$1:$A$1001,customers!$C$1:$C$1001,,0))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6">
        <f t="shared" si="12"/>
        <v>14.339999999999998</v>
      </c>
      <c r="N289" t="str">
        <f t="shared" si="13"/>
        <v>Robusta</v>
      </c>
      <c r="O289"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f>_xlfn.XLOOKUP(orders!C290,customers!$A$1:$A$1001,customers!$B$1:$B$1001,,0)</f>
        <v>Mathew Goulter</v>
      </c>
      <c r="G290" s="2" t="str">
        <f>IF(_xlfn.XLOOKUP(orders!C290,customers!$A$1:$A$1001,customers!$C$1:$C$1001,,0)=0,"",_xlfn.XLOOKUP(orders!C290,customers!$A$1:$A$1001,customers!$C$1:$C$1001,,0))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6">
        <f t="shared" si="12"/>
        <v>8.25</v>
      </c>
      <c r="N290" t="str">
        <f t="shared" si="13"/>
        <v>Excelsa</v>
      </c>
      <c r="O290"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f>_xlfn.XLOOKUP(orders!C291,customers!$A$1:$A$1001,customers!$B$1:$B$1001,,0)</f>
        <v>Marris Grcic</v>
      </c>
      <c r="G291" s="2" t="str">
        <f>IF(_xlfn.XLOOKUP(orders!C291,customers!$A$1:$A$1001,customers!$C$1:$C$1001,,0)=0,"",_xlfn.XLOOKUP(orders!C291,customers!$A$1:$A$1001,customers!$C$1:$C$1001,,0))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6">
        <f t="shared" si="12"/>
        <v>13.424999999999997</v>
      </c>
      <c r="N291" t="str">
        <f t="shared" si="13"/>
        <v>Robusta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_xlfn.XLOOKUP(orders!C292,customers!$A$1:$A$1001,customers!$B$1:$B$1001,,0)</f>
        <v>Domeniga Duke</v>
      </c>
      <c r="G292" s="2" t="str">
        <f>IF(_xlfn.XLOOKUP(orders!C292,customers!$A$1:$A$1001,customers!$C$1:$C$1001,,0)=0,"",_xlfn.XLOOKUP(orders!C292,customers!$A$1:$A$1001,customers!$C$1:$C$1001,,0))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6">
        <f t="shared" si="12"/>
        <v>49.75</v>
      </c>
      <c r="N292" t="str">
        <f t="shared" si="13"/>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_xlfn.XLOOKUP(orders!C293,customers!$A$1:$A$1001,customers!$B$1:$B$1001,,0)</f>
        <v>Violante Skouling</v>
      </c>
      <c r="G293" s="2" t="str">
        <f>IF(_xlfn.XLOOKUP(orders!C293,customers!$A$1:$A$1001,customers!$C$1:$C$1001,,0)=0,"",_xlfn.XLOOKUP(orders!C293,customers!$A$1:$A$1001,customers!$C$1:$C$1001,,0))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6">
        <f t="shared" si="12"/>
        <v>16.5</v>
      </c>
      <c r="N293" t="str">
        <f t="shared" si="13"/>
        <v>Excelsa</v>
      </c>
      <c r="O293"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f>_xlfn.XLOOKUP(orders!C294,customers!$A$1:$A$1001,customers!$B$1:$B$1001,,0)</f>
        <v>Isidore Hussey</v>
      </c>
      <c r="G294" s="2" t="str">
        <f>IF(_xlfn.XLOOKUP(orders!C294,customers!$A$1:$A$1001,customers!$C$1:$C$1001,,0)=0,"",_xlfn.XLOOKUP(orders!C294,customers!$A$1:$A$1001,customers!$C$1:$C$1001,,0))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6">
        <f t="shared" si="12"/>
        <v>17.91</v>
      </c>
      <c r="N294" t="str">
        <f t="shared" si="13"/>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_xlfn.XLOOKUP(orders!C295,customers!$A$1:$A$1001,customers!$B$1:$B$1001,,0)</f>
        <v>Cassie Pinkerton</v>
      </c>
      <c r="G295" s="2" t="str">
        <f>IF(_xlfn.XLOOKUP(orders!C295,customers!$A$1:$A$1001,customers!$C$1:$C$1001,,0)=0,"",_xlfn.XLOOKUP(orders!C295,customers!$A$1:$A$1001,customers!$C$1:$C$1001,,0))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6">
        <f t="shared" si="12"/>
        <v>29.849999999999998</v>
      </c>
      <c r="N295" t="str">
        <f t="shared" si="13"/>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_xlfn.XLOOKUP(orders!C296,customers!$A$1:$A$1001,customers!$B$1:$B$1001,,0)</f>
        <v>Micki Fero</v>
      </c>
      <c r="G296" s="2" t="str">
        <f>IF(_xlfn.XLOOKUP(orders!C296,customers!$A$1:$A$1001,customers!$C$1:$C$1001,,0)=0,"",_xlfn.XLOOKUP(orders!C296,customers!$A$1:$A$1001,customers!$C$1:$C$1001,,0))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6">
        <f t="shared" si="12"/>
        <v>44.55</v>
      </c>
      <c r="N296" t="str">
        <f t="shared" si="13"/>
        <v>Excelsa</v>
      </c>
      <c r="O296"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f>_xlfn.XLOOKUP(orders!C297,customers!$A$1:$A$1001,customers!$B$1:$B$1001,,0)</f>
        <v>Cybill Graddell</v>
      </c>
      <c r="G297" s="2" t="str">
        <f>IF(_xlfn.XLOOKUP(orders!C297,customers!$A$1:$A$1001,customers!$C$1:$C$1001,,0)=0,"",_xlfn.XLOOKUP(orders!C297,customers!$A$1:$A$1001,customers!$C$1:$C$1001,,0))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6">
        <f t="shared" si="12"/>
        <v>27.5</v>
      </c>
      <c r="N297" t="str">
        <f t="shared" si="13"/>
        <v>Excelsa</v>
      </c>
      <c r="O297"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f>_xlfn.XLOOKUP(orders!C298,customers!$A$1:$A$1001,customers!$B$1:$B$1001,,0)</f>
        <v>Dorian Vizor</v>
      </c>
      <c r="G298" s="2" t="str">
        <f>IF(_xlfn.XLOOKUP(orders!C298,customers!$A$1:$A$1001,customers!$C$1:$C$1001,,0)=0,"",_xlfn.XLOOKUP(orders!C298,customers!$A$1:$A$1001,customers!$C$1:$C$1001,,0))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6">
        <f t="shared" si="12"/>
        <v>35.82</v>
      </c>
      <c r="N298" t="str">
        <f t="shared" si="13"/>
        <v>Robusta</v>
      </c>
      <c r="O298"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f>_xlfn.XLOOKUP(orders!C299,customers!$A$1:$A$1001,customers!$B$1:$B$1001,,0)</f>
        <v>Eddi Sedgebeer</v>
      </c>
      <c r="G299" s="2" t="str">
        <f>IF(_xlfn.XLOOKUP(orders!C299,customers!$A$1:$A$1001,customers!$C$1:$C$1001,,0)=0,"",_xlfn.XLOOKUP(orders!C299,customers!$A$1:$A$1001,customers!$C$1:$C$1001,,0))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6">
        <f t="shared" si="12"/>
        <v>16.11</v>
      </c>
      <c r="N299" t="str">
        <f t="shared" si="13"/>
        <v>Robusta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_xlfn.XLOOKUP(orders!C300,customers!$A$1:$A$1001,customers!$B$1:$B$1001,,0)</f>
        <v>Ken Lestrange</v>
      </c>
      <c r="G300" s="2" t="str">
        <f>IF(_xlfn.XLOOKUP(orders!C300,customers!$A$1:$A$1001,customers!$C$1:$C$1001,,0)=0,"",_xlfn.XLOOKUP(orders!C300,customers!$A$1:$A$1001,customers!$C$1:$C$1001,,0))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6">
        <f t="shared" si="12"/>
        <v>26.73</v>
      </c>
      <c r="N300" t="str">
        <f t="shared" si="13"/>
        <v>Excelsa</v>
      </c>
      <c r="O300"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f>_xlfn.XLOOKUP(orders!C301,customers!$A$1:$A$1001,customers!$B$1:$B$1001,,0)</f>
        <v>Lacee Tanti</v>
      </c>
      <c r="G301" s="2" t="str">
        <f>IF(_xlfn.XLOOKUP(orders!C301,customers!$A$1:$A$1001,customers!$C$1:$C$1001,,0)=0,"",_xlfn.XLOOKUP(orders!C301,customers!$A$1:$A$1001,customers!$C$1:$C$1001,,0))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6">
        <f t="shared" si="12"/>
        <v>204.92999999999995</v>
      </c>
      <c r="N301" t="str">
        <f t="shared" si="13"/>
        <v>Excelsa</v>
      </c>
      <c r="O301"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f>_xlfn.XLOOKUP(orders!C302,customers!$A$1:$A$1001,customers!$B$1:$B$1001,,0)</f>
        <v>Arel De Lasci</v>
      </c>
      <c r="G302" s="2" t="str">
        <f>IF(_xlfn.XLOOKUP(orders!C302,customers!$A$1:$A$1001,customers!$C$1:$C$1001,,0)=0,"",_xlfn.XLOOKUP(orders!C302,customers!$A$1:$A$1001,customers!$C$1:$C$1001,,0))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6">
        <f t="shared" si="12"/>
        <v>38.849999999999994</v>
      </c>
      <c r="N302" t="str">
        <f t="shared" si="13"/>
        <v>Arabica</v>
      </c>
      <c r="O30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f>_xlfn.XLOOKUP(orders!C303,customers!$A$1:$A$1001,customers!$B$1:$B$1001,,0)</f>
        <v>Trescha Jedrachowicz</v>
      </c>
      <c r="G303" s="2" t="str">
        <f>IF(_xlfn.XLOOKUP(orders!C303,customers!$A$1:$A$1001,customers!$C$1:$C$1001,,0)=0,"",_xlfn.XLOOKUP(orders!C303,customers!$A$1:$A$1001,customers!$C$1:$C$1001,,0))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6">
        <f t="shared" si="12"/>
        <v>15.54</v>
      </c>
      <c r="N303" t="str">
        <f t="shared" si="13"/>
        <v>Liberica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_xlfn.XLOOKUP(orders!C304,customers!$A$1:$A$1001,customers!$B$1:$B$1001,,0)</f>
        <v>Perkin Stonner</v>
      </c>
      <c r="G304" s="2" t="str">
        <f>IF(_xlfn.XLOOKUP(orders!C304,customers!$A$1:$A$1001,customers!$C$1:$C$1001,,0)=0,"",_xlfn.XLOOKUP(orders!C304,customers!$A$1:$A$1001,customers!$C$1:$C$1001,,0))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6">
        <f t="shared" si="12"/>
        <v>6.75</v>
      </c>
      <c r="N304" t="str">
        <f t="shared" si="13"/>
        <v>Arabica</v>
      </c>
      <c r="O304"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f>_xlfn.XLOOKUP(orders!C305,customers!$A$1:$A$1001,customers!$B$1:$B$1001,,0)</f>
        <v>Darrin Tingly</v>
      </c>
      <c r="G305" s="2" t="str">
        <f>IF(_xlfn.XLOOKUP(orders!C305,customers!$A$1:$A$1001,customers!$C$1:$C$1001,,0)=0,"",_xlfn.XLOOKUP(orders!C305,customers!$A$1:$A$1001,customers!$C$1:$C$1001,,0))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6">
        <f t="shared" si="12"/>
        <v>111.78</v>
      </c>
      <c r="N305" t="str">
        <f t="shared" si="13"/>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_xlfn.XLOOKUP(orders!C306,customers!$A$1:$A$1001,customers!$B$1:$B$1001,,0)</f>
        <v>Claudetta Rushe</v>
      </c>
      <c r="G306" s="2" t="str">
        <f>IF(_xlfn.XLOOKUP(orders!C306,customers!$A$1:$A$1001,customers!$C$1:$C$1001,,0)=0,"",_xlfn.XLOOKUP(orders!C306,customers!$A$1:$A$1001,customers!$C$1:$C$1001,,0))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6">
        <f t="shared" si="12"/>
        <v>3.8849999999999998</v>
      </c>
      <c r="N306" t="str">
        <f t="shared" si="13"/>
        <v>Arabica</v>
      </c>
      <c r="O306"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f>_xlfn.XLOOKUP(orders!C307,customers!$A$1:$A$1001,customers!$B$1:$B$1001,,0)</f>
        <v>Benn Checci</v>
      </c>
      <c r="G307" s="2" t="str">
        <f>IF(_xlfn.XLOOKUP(orders!C307,customers!$A$1:$A$1001,customers!$C$1:$C$1001,,0)=0,"",_xlfn.XLOOKUP(orders!C307,customers!$A$1:$A$1001,customers!$C$1:$C$1001,,0))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6">
        <f t="shared" si="12"/>
        <v>21.825000000000003</v>
      </c>
      <c r="N307" t="str">
        <f t="shared" si="13"/>
        <v>Liberica</v>
      </c>
      <c r="O307"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f>_xlfn.XLOOKUP(orders!C308,customers!$A$1:$A$1001,customers!$B$1:$B$1001,,0)</f>
        <v>Janifer Bagot</v>
      </c>
      <c r="G308" s="2" t="str">
        <f>IF(_xlfn.XLOOKUP(orders!C308,customers!$A$1:$A$1001,customers!$C$1:$C$1001,,0)=0,"",_xlfn.XLOOKUP(orders!C308,customers!$A$1:$A$1001,customers!$C$1:$C$1001,,0))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6">
        <f t="shared" si="12"/>
        <v>14.924999999999999</v>
      </c>
      <c r="N308" t="str">
        <f t="shared" si="13"/>
        <v>Robusta</v>
      </c>
      <c r="O308"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f>_xlfn.XLOOKUP(orders!C309,customers!$A$1:$A$1001,customers!$B$1:$B$1001,,0)</f>
        <v>Ermin Beeble</v>
      </c>
      <c r="G309" s="2" t="str">
        <f>IF(_xlfn.XLOOKUP(orders!C309,customers!$A$1:$A$1001,customers!$C$1:$C$1001,,0)=0,"",_xlfn.XLOOKUP(orders!C309,customers!$A$1:$A$1001,customers!$C$1:$C$1001,,0))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6">
        <f t="shared" si="12"/>
        <v>33.75</v>
      </c>
      <c r="N309" t="str">
        <f t="shared" si="13"/>
        <v>Arabica</v>
      </c>
      <c r="O309"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f>_xlfn.XLOOKUP(orders!C310,customers!$A$1:$A$1001,customers!$B$1:$B$1001,,0)</f>
        <v>Cos Fluin</v>
      </c>
      <c r="G310" s="2" t="str">
        <f>IF(_xlfn.XLOOKUP(orders!C310,customers!$A$1:$A$1001,customers!$C$1:$C$1001,,0)=0,"",_xlfn.XLOOKUP(orders!C310,customers!$A$1:$A$1001,customers!$C$1:$C$1001,,0))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6">
        <f t="shared" si="12"/>
        <v>33.75</v>
      </c>
      <c r="N310" t="str">
        <f t="shared" si="13"/>
        <v>Arabica</v>
      </c>
      <c r="O310"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f>_xlfn.XLOOKUP(orders!C311,customers!$A$1:$A$1001,customers!$B$1:$B$1001,,0)</f>
        <v>Eveleen Bletsor</v>
      </c>
      <c r="G311" s="2" t="str">
        <f>IF(_xlfn.XLOOKUP(orders!C311,customers!$A$1:$A$1001,customers!$C$1:$C$1001,,0)=0,"",_xlfn.XLOOKUP(orders!C311,customers!$A$1:$A$1001,customers!$C$1:$C$1001,,0))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6">
        <f t="shared" si="12"/>
        <v>26.19</v>
      </c>
      <c r="N311" t="str">
        <f t="shared" si="13"/>
        <v>Liberica</v>
      </c>
      <c r="O311"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f>_xlfn.XLOOKUP(orders!C312,customers!$A$1:$A$1001,customers!$B$1:$B$1001,,0)</f>
        <v>Paola Brydell</v>
      </c>
      <c r="G312" s="2" t="str">
        <f>IF(_xlfn.XLOOKUP(orders!C312,customers!$A$1:$A$1001,customers!$C$1:$C$1001,,0)=0,"",_xlfn.XLOOKUP(orders!C312,customers!$A$1:$A$1001,customers!$C$1:$C$1001,,0))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6">
        <f t="shared" si="12"/>
        <v>14.85</v>
      </c>
      <c r="N312" t="str">
        <f t="shared" si="13"/>
        <v>Excelsa</v>
      </c>
      <c r="O31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f>_xlfn.XLOOKUP(orders!C313,customers!$A$1:$A$1001,customers!$B$1:$B$1001,,0)</f>
        <v>Claudetta Rushe</v>
      </c>
      <c r="G313" s="2" t="str">
        <f>IF(_xlfn.XLOOKUP(orders!C313,customers!$A$1:$A$1001,customers!$C$1:$C$1001,,0)=0,"",_xlfn.XLOOKUP(orders!C313,customers!$A$1:$A$1001,customers!$C$1:$C$1001,,0))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6">
        <f t="shared" si="12"/>
        <v>189.74999999999997</v>
      </c>
      <c r="N313" t="str">
        <f t="shared" si="13"/>
        <v>Excelsa</v>
      </c>
      <c r="O313"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f>_xlfn.XLOOKUP(orders!C314,customers!$A$1:$A$1001,customers!$B$1:$B$1001,,0)</f>
        <v>Natka Leethem</v>
      </c>
      <c r="G314" s="2" t="str">
        <f>IF(_xlfn.XLOOKUP(orders!C314,customers!$A$1:$A$1001,customers!$C$1:$C$1001,,0)=0,"",_xlfn.XLOOKUP(orders!C314,customers!$A$1:$A$1001,customers!$C$1:$C$1001,,0))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6">
        <f t="shared" si="12"/>
        <v>5.97</v>
      </c>
      <c r="N314" t="str">
        <f t="shared" si="13"/>
        <v>Robusta</v>
      </c>
      <c r="O314"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f>_xlfn.XLOOKUP(orders!C315,customers!$A$1:$A$1001,customers!$B$1:$B$1001,,0)</f>
        <v>Ailene Nesfield</v>
      </c>
      <c r="G315" s="2" t="str">
        <f>IF(_xlfn.XLOOKUP(orders!C315,customers!$A$1:$A$1001,customers!$C$1:$C$1001,,0)=0,"",_xlfn.XLOOKUP(orders!C315,customers!$A$1:$A$1001,customers!$C$1:$C$1001,,0))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6">
        <f t="shared" si="12"/>
        <v>29.849999999999998</v>
      </c>
      <c r="N315" t="str">
        <f t="shared" si="13"/>
        <v>Robusta</v>
      </c>
      <c r="O315"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f>_xlfn.XLOOKUP(orders!C316,customers!$A$1:$A$1001,customers!$B$1:$B$1001,,0)</f>
        <v>Stacy Pickworth</v>
      </c>
      <c r="G316" s="2" t="str">
        <f>IF(_xlfn.XLOOKUP(orders!C316,customers!$A$1:$A$1001,customers!$C$1:$C$1001,,0)=0,"",_xlfn.XLOOKUP(orders!C316,customers!$A$1:$A$1001,customers!$C$1:$C$1001,,0))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6">
        <f t="shared" si="12"/>
        <v>44.75</v>
      </c>
      <c r="N316" t="str">
        <f t="shared" si="13"/>
        <v>Robusta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_xlfn.XLOOKUP(orders!C317,customers!$A$1:$A$1001,customers!$B$1:$B$1001,,0)</f>
        <v>Melli Brockway</v>
      </c>
      <c r="G317" s="2" t="str">
        <f>IF(_xlfn.XLOOKUP(orders!C317,customers!$A$1:$A$1001,customers!$C$1:$C$1001,,0)=0,"",_xlfn.XLOOKUP(orders!C317,customers!$A$1:$A$1001,customers!$C$1:$C$1001,,0))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6">
        <f t="shared" si="12"/>
        <v>34.154999999999994</v>
      </c>
      <c r="N317" t="str">
        <f t="shared" si="13"/>
        <v>Excelsa</v>
      </c>
      <c r="O317"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f>_xlfn.XLOOKUP(orders!C318,customers!$A$1:$A$1001,customers!$B$1:$B$1001,,0)</f>
        <v>Nanny Lush</v>
      </c>
      <c r="G318" s="2" t="str">
        <f>IF(_xlfn.XLOOKUP(orders!C318,customers!$A$1:$A$1001,customers!$C$1:$C$1001,,0)=0,"",_xlfn.XLOOKUP(orders!C318,customers!$A$1:$A$1001,customers!$C$1:$C$1001,,0))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6">
        <f t="shared" si="12"/>
        <v>204.92999999999995</v>
      </c>
      <c r="N318" t="str">
        <f t="shared" si="13"/>
        <v>Excelsa</v>
      </c>
      <c r="O318"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f>_xlfn.XLOOKUP(orders!C319,customers!$A$1:$A$1001,customers!$B$1:$B$1001,,0)</f>
        <v>Selma McMillian</v>
      </c>
      <c r="G319" s="2" t="str">
        <f>IF(_xlfn.XLOOKUP(orders!C319,customers!$A$1:$A$1001,customers!$C$1:$C$1001,,0)=0,"",_xlfn.XLOOKUP(orders!C319,customers!$A$1:$A$1001,customers!$C$1:$C$1001,,0))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6">
        <f t="shared" si="12"/>
        <v>21.87</v>
      </c>
      <c r="N319" t="str">
        <f t="shared" si="13"/>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_xlfn.XLOOKUP(orders!C320,customers!$A$1:$A$1001,customers!$B$1:$B$1001,,0)</f>
        <v>Tess Bennison</v>
      </c>
      <c r="G320" s="2" t="str">
        <f>IF(_xlfn.XLOOKUP(orders!C320,customers!$A$1:$A$1001,customers!$C$1:$C$1001,,0)=0,"",_xlfn.XLOOKUP(orders!C320,customers!$A$1:$A$1001,customers!$C$1:$C$1001,,0))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6">
        <f t="shared" si="12"/>
        <v>51.749999999999993</v>
      </c>
      <c r="N320" t="str">
        <f t="shared" si="13"/>
        <v>Arabica</v>
      </c>
      <c r="O320"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f>_xlfn.XLOOKUP(orders!C321,customers!$A$1:$A$1001,customers!$B$1:$B$1001,,0)</f>
        <v>Gabie Tweed</v>
      </c>
      <c r="G321" s="2" t="str">
        <f>IF(_xlfn.XLOOKUP(orders!C321,customers!$A$1:$A$1001,customers!$C$1:$C$1001,,0)=0,"",_xlfn.XLOOKUP(orders!C321,customers!$A$1:$A$1001,customers!$C$1:$C$1001,,0))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6">
        <f t="shared" si="12"/>
        <v>8.25</v>
      </c>
      <c r="N321" t="str">
        <f t="shared" si="13"/>
        <v>Excelsa</v>
      </c>
      <c r="O321"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f>_xlfn.XLOOKUP(orders!C322,customers!$A$1:$A$1001,customers!$B$1:$B$1001,,0)</f>
        <v>Gabie Tweed</v>
      </c>
      <c r="G322" s="2" t="str">
        <f>IF(_xlfn.XLOOKUP(orders!C322,customers!$A$1:$A$1001,customers!$C$1:$C$1001,,0)=0,"",_xlfn.XLOOKUP(orders!C322,customers!$A$1:$A$1001,customers!$C$1:$C$1001,,0))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6">
        <f t="shared" si="12"/>
        <v>19.424999999999997</v>
      </c>
      <c r="N322" t="str">
        <f t="shared" si="13"/>
        <v>Arabica</v>
      </c>
      <c r="O32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f>_xlfn.XLOOKUP(orders!C323,customers!$A$1:$A$1001,customers!$B$1:$B$1001,,0)</f>
        <v>Gaile Goggin</v>
      </c>
      <c r="G323" s="2" t="str">
        <f>IF(_xlfn.XLOOKUP(orders!C323,customers!$A$1:$A$1001,customers!$C$1:$C$1001,,0)=0,"",_xlfn.XLOOKUP(orders!C323,customers!$A$1:$A$1001,customers!$C$1:$C$1001,,0))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6">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_xlfn.XLOOKUP(orders!C324,customers!$A$1:$A$1001,customers!$B$1:$B$1001,,0)</f>
        <v>Skylar Jeyness</v>
      </c>
      <c r="G324" s="2" t="str">
        <f>IF(_xlfn.XLOOKUP(orders!C324,customers!$A$1:$A$1001,customers!$C$1:$C$1001,,0)=0,"",_xlfn.XLOOKUP(orders!C324,customers!$A$1:$A$1001,customers!$C$1:$C$1001,,0))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6">
        <f t="shared" si="15"/>
        <v>23.31</v>
      </c>
      <c r="N324" t="str">
        <f t="shared" si="16"/>
        <v>Liberica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_xlfn.XLOOKUP(orders!C325,customers!$A$1:$A$1001,customers!$B$1:$B$1001,,0)</f>
        <v>Donica Bonhome</v>
      </c>
      <c r="G325" s="2" t="str">
        <f>IF(_xlfn.XLOOKUP(orders!C325,customers!$A$1:$A$1001,customers!$C$1:$C$1001,,0)=0,"",_xlfn.XLOOKUP(orders!C325,customers!$A$1:$A$1001,customers!$C$1:$C$1001,,0))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6">
        <f t="shared" si="15"/>
        <v>18.225000000000001</v>
      </c>
      <c r="N325" t="str">
        <f t="shared" si="16"/>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_xlfn.XLOOKUP(orders!C326,customers!$A$1:$A$1001,customers!$B$1:$B$1001,,0)</f>
        <v>Diena Peetermann</v>
      </c>
      <c r="G326" s="2" t="str">
        <f>IF(_xlfn.XLOOKUP(orders!C326,customers!$A$1:$A$1001,customers!$C$1:$C$1001,,0)=0,"",_xlfn.XLOOKUP(orders!C326,customers!$A$1:$A$1001,customers!$C$1:$C$1001,,0))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6">
        <f t="shared" si="15"/>
        <v>13.75</v>
      </c>
      <c r="N326" t="str">
        <f t="shared" si="16"/>
        <v>Excelsa</v>
      </c>
      <c r="O326"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f>_xlfn.XLOOKUP(orders!C327,customers!$A$1:$A$1001,customers!$B$1:$B$1001,,0)</f>
        <v>Trina Le Sarr</v>
      </c>
      <c r="G327" s="2" t="str">
        <f>IF(_xlfn.XLOOKUP(orders!C327,customers!$A$1:$A$1001,customers!$C$1:$C$1001,,0)=0,"",_xlfn.XLOOKUP(orders!C327,customers!$A$1:$A$1001,customers!$C$1:$C$1001,,0))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6">
        <f t="shared" si="15"/>
        <v>29.784999999999997</v>
      </c>
      <c r="N327" t="str">
        <f t="shared" si="16"/>
        <v>Arabica</v>
      </c>
      <c r="O327"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f>_xlfn.XLOOKUP(orders!C328,customers!$A$1:$A$1001,customers!$B$1:$B$1001,,0)</f>
        <v>Flynn Antony</v>
      </c>
      <c r="G328" s="2" t="str">
        <f>IF(_xlfn.XLOOKUP(orders!C328,customers!$A$1:$A$1001,customers!$C$1:$C$1001,,0)=0,"",_xlfn.XLOOKUP(orders!C328,customers!$A$1:$A$1001,customers!$C$1:$C$1001,,0))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6">
        <f t="shared" si="15"/>
        <v>44.75</v>
      </c>
      <c r="N328" t="str">
        <f t="shared" si="16"/>
        <v>Robusta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_xlfn.XLOOKUP(orders!C329,customers!$A$1:$A$1001,customers!$B$1:$B$1001,,0)</f>
        <v>Baudoin Alldridge</v>
      </c>
      <c r="G329" s="2" t="str">
        <f>IF(_xlfn.XLOOKUP(orders!C329,customers!$A$1:$A$1001,customers!$C$1:$C$1001,,0)=0,"",_xlfn.XLOOKUP(orders!C329,customers!$A$1:$A$1001,customers!$C$1:$C$1001,,0))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6">
        <f t="shared" si="15"/>
        <v>44.75</v>
      </c>
      <c r="N329" t="str">
        <f t="shared" si="16"/>
        <v>Robusta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_xlfn.XLOOKUP(orders!C330,customers!$A$1:$A$1001,customers!$B$1:$B$1001,,0)</f>
        <v>Homer Dulany</v>
      </c>
      <c r="G330" s="2" t="str">
        <f>IF(_xlfn.XLOOKUP(orders!C330,customers!$A$1:$A$1001,customers!$C$1:$C$1001,,0)=0,"",_xlfn.XLOOKUP(orders!C330,customers!$A$1:$A$1001,customers!$C$1:$C$1001,,0))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6">
        <f t="shared" si="15"/>
        <v>38.04</v>
      </c>
      <c r="N330" t="str">
        <f t="shared" si="16"/>
        <v>Liberica</v>
      </c>
      <c r="O330"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f>_xlfn.XLOOKUP(orders!C331,customers!$A$1:$A$1001,customers!$B$1:$B$1001,,0)</f>
        <v>Lisa Goodger</v>
      </c>
      <c r="G331" s="2" t="str">
        <f>IF(_xlfn.XLOOKUP(orders!C331,customers!$A$1:$A$1001,customers!$C$1:$C$1001,,0)=0,"",_xlfn.XLOOKUP(orders!C331,customers!$A$1:$A$1001,customers!$C$1:$C$1001,,0))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6">
        <f t="shared" si="15"/>
        <v>21.479999999999997</v>
      </c>
      <c r="N331" t="str">
        <f t="shared" si="16"/>
        <v>Robusta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_xlfn.XLOOKUP(orders!C332,customers!$A$1:$A$1001,customers!$B$1:$B$1001,,0)</f>
        <v>Selma McMillian</v>
      </c>
      <c r="G332" s="2" t="str">
        <f>IF(_xlfn.XLOOKUP(orders!C332,customers!$A$1:$A$1001,customers!$C$1:$C$1001,,0)=0,"",_xlfn.XLOOKUP(orders!C332,customers!$A$1:$A$1001,customers!$C$1:$C$1001,,0))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6">
        <f t="shared" si="15"/>
        <v>16.11</v>
      </c>
      <c r="N332" t="str">
        <f t="shared" si="16"/>
        <v>Robusta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_xlfn.XLOOKUP(orders!C333,customers!$A$1:$A$1001,customers!$B$1:$B$1001,,0)</f>
        <v>Corine Drewett</v>
      </c>
      <c r="G333" s="2" t="str">
        <f>IF(_xlfn.XLOOKUP(orders!C333,customers!$A$1:$A$1001,customers!$C$1:$C$1001,,0)=0,"",_xlfn.XLOOKUP(orders!C333,customers!$A$1:$A$1001,customers!$C$1:$C$1001,,0))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6">
        <f t="shared" si="15"/>
        <v>22.884999999999998</v>
      </c>
      <c r="N333" t="str">
        <f t="shared" si="16"/>
        <v>Robusta</v>
      </c>
      <c r="O333"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f>_xlfn.XLOOKUP(orders!C334,customers!$A$1:$A$1001,customers!$B$1:$B$1001,,0)</f>
        <v>Quinn Parsons</v>
      </c>
      <c r="G334" s="2" t="str">
        <f>IF(_xlfn.XLOOKUP(orders!C334,customers!$A$1:$A$1001,customers!$C$1:$C$1001,,0)=0,"",_xlfn.XLOOKUP(orders!C334,customers!$A$1:$A$1001,customers!$C$1:$C$1001,,0))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6">
        <f t="shared" si="15"/>
        <v>17.91</v>
      </c>
      <c r="N334" t="str">
        <f t="shared" si="16"/>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_xlfn.XLOOKUP(orders!C335,customers!$A$1:$A$1001,customers!$B$1:$B$1001,,0)</f>
        <v>Vivyan Ceely</v>
      </c>
      <c r="G335" s="2" t="str">
        <f>IF(_xlfn.XLOOKUP(orders!C335,customers!$A$1:$A$1001,customers!$C$1:$C$1001,,0)=0,"",_xlfn.XLOOKUP(orders!C335,customers!$A$1:$A$1001,customers!$C$1:$C$1001,,0))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6">
        <f t="shared" si="15"/>
        <v>23.88</v>
      </c>
      <c r="N335" t="str">
        <f t="shared" si="16"/>
        <v>Robusta</v>
      </c>
      <c r="O335"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f>_xlfn.XLOOKUP(orders!C336,customers!$A$1:$A$1001,customers!$B$1:$B$1001,,0)</f>
        <v>Elonore Goodings</v>
      </c>
      <c r="G336" s="2" t="str">
        <f>IF(_xlfn.XLOOKUP(orders!C336,customers!$A$1:$A$1001,customers!$C$1:$C$1001,,0)=0,"",_xlfn.XLOOKUP(orders!C336,customers!$A$1:$A$1001,customers!$C$1:$C$1001,,0))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6">
        <f t="shared" si="15"/>
        <v>59.75</v>
      </c>
      <c r="N336" t="str">
        <f t="shared" si="16"/>
        <v>Robusta</v>
      </c>
      <c r="O336"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f>_xlfn.XLOOKUP(orders!C337,customers!$A$1:$A$1001,customers!$B$1:$B$1001,,0)</f>
        <v>Clement Vasiliev</v>
      </c>
      <c r="G337" s="2" t="str">
        <f>IF(_xlfn.XLOOKUP(orders!C337,customers!$A$1:$A$1001,customers!$C$1:$C$1001,,0)=0,"",_xlfn.XLOOKUP(orders!C337,customers!$A$1:$A$1001,customers!$C$1:$C$1001,,0))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6">
        <f t="shared" si="15"/>
        <v>28.53</v>
      </c>
      <c r="N337" t="str">
        <f t="shared" si="16"/>
        <v>Liberica</v>
      </c>
      <c r="O337"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f>_xlfn.XLOOKUP(orders!C338,customers!$A$1:$A$1001,customers!$B$1:$B$1001,,0)</f>
        <v>Terencio O'Moylan</v>
      </c>
      <c r="G338" s="2" t="str">
        <f>IF(_xlfn.XLOOKUP(orders!C338,customers!$A$1:$A$1001,customers!$C$1:$C$1001,,0)=0,"",_xlfn.XLOOKUP(orders!C338,customers!$A$1:$A$1001,customers!$C$1:$C$1001,,0))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6">
        <f t="shared" si="15"/>
        <v>45</v>
      </c>
      <c r="N338" t="str">
        <f t="shared" si="16"/>
        <v>Arabica</v>
      </c>
      <c r="O338"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f>_xlfn.XLOOKUP(orders!C339,customers!$A$1:$A$1001,customers!$B$1:$B$1001,,0)</f>
        <v>Flynn Antony</v>
      </c>
      <c r="G339" s="2" t="str">
        <f>IF(_xlfn.XLOOKUP(orders!C339,customers!$A$1:$A$1001,customers!$C$1:$C$1001,,0)=0,"",_xlfn.XLOOKUP(orders!C339,customers!$A$1:$A$1001,customers!$C$1:$C$1001,,0))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6">
        <f t="shared" si="15"/>
        <v>55.89</v>
      </c>
      <c r="N339" t="str">
        <f t="shared" si="16"/>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_xlfn.XLOOKUP(orders!C340,customers!$A$1:$A$1001,customers!$B$1:$B$1001,,0)</f>
        <v>Wyatan Fetherston</v>
      </c>
      <c r="G340" s="2" t="str">
        <f>IF(_xlfn.XLOOKUP(orders!C340,customers!$A$1:$A$1001,customers!$C$1:$C$1001,,0)=0,"",_xlfn.XLOOKUP(orders!C340,customers!$A$1:$A$1001,customers!$C$1:$C$1001,,0))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6">
        <f t="shared" si="15"/>
        <v>59.4</v>
      </c>
      <c r="N340" t="str">
        <f t="shared" si="16"/>
        <v>Excelsa</v>
      </c>
      <c r="O340"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f>_xlfn.XLOOKUP(orders!C341,customers!$A$1:$A$1001,customers!$B$1:$B$1001,,0)</f>
        <v>Emmaline Rasmus</v>
      </c>
      <c r="G341" s="2" t="str">
        <f>IF(_xlfn.XLOOKUP(orders!C341,customers!$A$1:$A$1001,customers!$C$1:$C$1001,,0)=0,"",_xlfn.XLOOKUP(orders!C341,customers!$A$1:$A$1001,customers!$C$1:$C$1001,,0))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6">
        <f t="shared" si="15"/>
        <v>7.29</v>
      </c>
      <c r="N341" t="str">
        <f t="shared" si="16"/>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_xlfn.XLOOKUP(orders!C342,customers!$A$1:$A$1001,customers!$B$1:$B$1001,,0)</f>
        <v>Wesley Giorgioni</v>
      </c>
      <c r="G342" s="2" t="str">
        <f>IF(_xlfn.XLOOKUP(orders!C342,customers!$A$1:$A$1001,customers!$C$1:$C$1001,,0)=0,"",_xlfn.XLOOKUP(orders!C342,customers!$A$1:$A$1001,customers!$C$1:$C$1001,,0))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6">
        <f t="shared" si="15"/>
        <v>7.29</v>
      </c>
      <c r="N342" t="str">
        <f t="shared" si="16"/>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_xlfn.XLOOKUP(orders!C343,customers!$A$1:$A$1001,customers!$B$1:$B$1001,,0)</f>
        <v>Lucienne Scargle</v>
      </c>
      <c r="G343" s="2" t="str">
        <f>IF(_xlfn.XLOOKUP(orders!C343,customers!$A$1:$A$1001,customers!$C$1:$C$1001,,0)=0,"",_xlfn.XLOOKUP(orders!C343,customers!$A$1:$A$1001,customers!$C$1:$C$1001,,0))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6">
        <f t="shared" si="15"/>
        <v>17.82</v>
      </c>
      <c r="N343" t="str">
        <f t="shared" si="16"/>
        <v>Excelsa</v>
      </c>
      <c r="O343"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f>_xlfn.XLOOKUP(orders!C344,customers!$A$1:$A$1001,customers!$B$1:$B$1001,,0)</f>
        <v>Lucienne Scargle</v>
      </c>
      <c r="G344" s="2" t="str">
        <f>IF(_xlfn.XLOOKUP(orders!C344,customers!$A$1:$A$1001,customers!$C$1:$C$1001,,0)=0,"",_xlfn.XLOOKUP(orders!C344,customers!$A$1:$A$1001,customers!$C$1:$C$1001,,0))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6">
        <f t="shared" si="15"/>
        <v>38.849999999999994</v>
      </c>
      <c r="N344" t="str">
        <f t="shared" si="16"/>
        <v>Liberica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_xlfn.XLOOKUP(orders!C345,customers!$A$1:$A$1001,customers!$B$1:$B$1001,,0)</f>
        <v>Noam Climance</v>
      </c>
      <c r="G345" s="2" t="str">
        <f>IF(_xlfn.XLOOKUP(orders!C345,customers!$A$1:$A$1001,customers!$C$1:$C$1001,,0)=0,"",_xlfn.XLOOKUP(orders!C345,customers!$A$1:$A$1001,customers!$C$1:$C$1001,,0))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6">
        <f t="shared" si="15"/>
        <v>32.22</v>
      </c>
      <c r="N345" t="str">
        <f t="shared" si="16"/>
        <v>Robusta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_xlfn.XLOOKUP(orders!C346,customers!$A$1:$A$1001,customers!$B$1:$B$1001,,0)</f>
        <v>Catarina Donn</v>
      </c>
      <c r="G346" s="2" t="str">
        <f>IF(_xlfn.XLOOKUP(orders!C346,customers!$A$1:$A$1001,customers!$C$1:$C$1001,,0)=0,"",_xlfn.XLOOKUP(orders!C346,customers!$A$1:$A$1001,customers!$C$1:$C$1001,,0))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6">
        <f t="shared" si="15"/>
        <v>19.899999999999999</v>
      </c>
      <c r="N346" t="str">
        <f t="shared" si="16"/>
        <v>Robusta</v>
      </c>
      <c r="O346"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f>_xlfn.XLOOKUP(orders!C347,customers!$A$1:$A$1001,customers!$B$1:$B$1001,,0)</f>
        <v>Ameline Snazle</v>
      </c>
      <c r="G347" s="2" t="str">
        <f>IF(_xlfn.XLOOKUP(orders!C347,customers!$A$1:$A$1001,customers!$C$1:$C$1001,,0)=0,"",_xlfn.XLOOKUP(orders!C347,customers!$A$1:$A$1001,customers!$C$1:$C$1001,,0))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6">
        <f t="shared" si="15"/>
        <v>59.75</v>
      </c>
      <c r="N347" t="str">
        <f t="shared" si="16"/>
        <v>Robusta</v>
      </c>
      <c r="O347"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f>_xlfn.XLOOKUP(orders!C348,customers!$A$1:$A$1001,customers!$B$1:$B$1001,,0)</f>
        <v>Rebeka Worg</v>
      </c>
      <c r="G348" s="2" t="str">
        <f>IF(_xlfn.XLOOKUP(orders!C348,customers!$A$1:$A$1001,customers!$C$1:$C$1001,,0)=0,"",_xlfn.XLOOKUP(orders!C348,customers!$A$1:$A$1001,customers!$C$1:$C$1001,,0))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6">
        <f t="shared" si="15"/>
        <v>23.31</v>
      </c>
      <c r="N348" t="str">
        <f t="shared" si="16"/>
        <v>Arabica</v>
      </c>
      <c r="O348"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f>_xlfn.XLOOKUP(orders!C349,customers!$A$1:$A$1001,customers!$B$1:$B$1001,,0)</f>
        <v>Lewes Danes</v>
      </c>
      <c r="G349" s="2" t="str">
        <f>IF(_xlfn.XLOOKUP(orders!C349,customers!$A$1:$A$1001,customers!$C$1:$C$1001,,0)=0,"",_xlfn.XLOOKUP(orders!C349,customers!$A$1:$A$1001,customers!$C$1:$C$1001,,0))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6">
        <f t="shared" si="15"/>
        <v>43.650000000000006</v>
      </c>
      <c r="N349" t="str">
        <f t="shared" si="16"/>
        <v>Liberica</v>
      </c>
      <c r="O349"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f>_xlfn.XLOOKUP(orders!C350,customers!$A$1:$A$1001,customers!$B$1:$B$1001,,0)</f>
        <v>Shelli Keynd</v>
      </c>
      <c r="G350" s="2" t="str">
        <f>IF(_xlfn.XLOOKUP(orders!C350,customers!$A$1:$A$1001,customers!$C$1:$C$1001,,0)=0,"",_xlfn.XLOOKUP(orders!C350,customers!$A$1:$A$1001,customers!$C$1:$C$1001,,0))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6">
        <f t="shared" si="15"/>
        <v>204.92999999999995</v>
      </c>
      <c r="N350" t="str">
        <f t="shared" si="16"/>
        <v>Excelsa</v>
      </c>
      <c r="O350"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f>_xlfn.XLOOKUP(orders!C351,customers!$A$1:$A$1001,customers!$B$1:$B$1001,,0)</f>
        <v>Dell Daveridge</v>
      </c>
      <c r="G351" s="2" t="str">
        <f>IF(_xlfn.XLOOKUP(orders!C351,customers!$A$1:$A$1001,customers!$C$1:$C$1001,,0)=0,"",_xlfn.XLOOKUP(orders!C351,customers!$A$1:$A$1001,customers!$C$1:$C$1001,,0))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6">
        <f t="shared" si="15"/>
        <v>14.339999999999998</v>
      </c>
      <c r="N351" t="str">
        <f t="shared" si="16"/>
        <v>Robusta</v>
      </c>
      <c r="O351"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f>_xlfn.XLOOKUP(orders!C352,customers!$A$1:$A$1001,customers!$B$1:$B$1001,,0)</f>
        <v>Joshuah Awdry</v>
      </c>
      <c r="G352" s="2" t="str">
        <f>IF(_xlfn.XLOOKUP(orders!C352,customers!$A$1:$A$1001,customers!$C$1:$C$1001,,0)=0,"",_xlfn.XLOOKUP(orders!C352,customers!$A$1:$A$1001,customers!$C$1:$C$1001,,0))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6">
        <f t="shared" si="15"/>
        <v>23.88</v>
      </c>
      <c r="N352" t="str">
        <f t="shared" si="16"/>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_xlfn.XLOOKUP(orders!C353,customers!$A$1:$A$1001,customers!$B$1:$B$1001,,0)</f>
        <v>Ethel Ryles</v>
      </c>
      <c r="G353" s="2" t="str">
        <f>IF(_xlfn.XLOOKUP(orders!C353,customers!$A$1:$A$1001,customers!$C$1:$C$1001,,0)=0,"",_xlfn.XLOOKUP(orders!C353,customers!$A$1:$A$1001,customers!$C$1:$C$1001,,0))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6">
        <f t="shared" si="15"/>
        <v>22.5</v>
      </c>
      <c r="N353" t="str">
        <f t="shared" si="16"/>
        <v>Arabica</v>
      </c>
      <c r="O353"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f>_xlfn.XLOOKUP(orders!C354,customers!$A$1:$A$1001,customers!$B$1:$B$1001,,0)</f>
        <v>Flynn Antony</v>
      </c>
      <c r="G354" s="2" t="str">
        <f>IF(_xlfn.XLOOKUP(orders!C354,customers!$A$1:$A$1001,customers!$C$1:$C$1001,,0)=0,"",_xlfn.XLOOKUP(orders!C354,customers!$A$1:$A$1001,customers!$C$1:$C$1001,,0))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6">
        <f t="shared" si="15"/>
        <v>36.450000000000003</v>
      </c>
      <c r="N354" t="str">
        <f t="shared" si="16"/>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_xlfn.XLOOKUP(orders!C355,customers!$A$1:$A$1001,customers!$B$1:$B$1001,,0)</f>
        <v>Maitilde Boxill</v>
      </c>
      <c r="G355" s="2" t="str">
        <f>IF(_xlfn.XLOOKUP(orders!C355,customers!$A$1:$A$1001,customers!$C$1:$C$1001,,0)=0,"",_xlfn.XLOOKUP(orders!C355,customers!$A$1:$A$1001,customers!$C$1:$C$1001,,0))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6">
        <f t="shared" si="15"/>
        <v>27</v>
      </c>
      <c r="N355" t="str">
        <f t="shared" si="16"/>
        <v>Arabica</v>
      </c>
      <c r="O355"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f>_xlfn.XLOOKUP(orders!C356,customers!$A$1:$A$1001,customers!$B$1:$B$1001,,0)</f>
        <v>Jodee Caldicott</v>
      </c>
      <c r="G356" s="2" t="str">
        <f>IF(_xlfn.XLOOKUP(orders!C356,customers!$A$1:$A$1001,customers!$C$1:$C$1001,,0)=0,"",_xlfn.XLOOKUP(orders!C356,customers!$A$1:$A$1001,customers!$C$1:$C$1001,,0))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6">
        <f t="shared" si="15"/>
        <v>155.24999999999997</v>
      </c>
      <c r="N356" t="str">
        <f t="shared" si="16"/>
        <v>Arabica</v>
      </c>
      <c r="O356"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f>_xlfn.XLOOKUP(orders!C357,customers!$A$1:$A$1001,customers!$B$1:$B$1001,,0)</f>
        <v>Marianna Vedmore</v>
      </c>
      <c r="G357" s="2" t="str">
        <f>IF(_xlfn.XLOOKUP(orders!C357,customers!$A$1:$A$1001,customers!$C$1:$C$1001,,0)=0,"",_xlfn.XLOOKUP(orders!C357,customers!$A$1:$A$1001,customers!$C$1:$C$1001,,0))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6">
        <f t="shared" si="15"/>
        <v>114.42499999999998</v>
      </c>
      <c r="N357" t="str">
        <f t="shared" si="16"/>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_xlfn.XLOOKUP(orders!C358,customers!$A$1:$A$1001,customers!$B$1:$B$1001,,0)</f>
        <v>Willey Romao</v>
      </c>
      <c r="G358" s="2" t="str">
        <f>IF(_xlfn.XLOOKUP(orders!C358,customers!$A$1:$A$1001,customers!$C$1:$C$1001,,0)=0,"",_xlfn.XLOOKUP(orders!C358,customers!$A$1:$A$1001,customers!$C$1:$C$1001,,0))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6">
        <f t="shared" si="15"/>
        <v>51.8</v>
      </c>
      <c r="N358" t="str">
        <f t="shared" si="16"/>
        <v>Liberica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_xlfn.XLOOKUP(orders!C359,customers!$A$1:$A$1001,customers!$B$1:$B$1001,,0)</f>
        <v>Enriqueta Ixor</v>
      </c>
      <c r="G359" s="2" t="str">
        <f>IF(_xlfn.XLOOKUP(orders!C359,customers!$A$1:$A$1001,customers!$C$1:$C$1001,,0)=0,"",_xlfn.XLOOKUP(orders!C359,customers!$A$1:$A$1001,customers!$C$1:$C$1001,,0))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6">
        <f t="shared" si="15"/>
        <v>155.24999999999997</v>
      </c>
      <c r="N359" t="str">
        <f t="shared" si="16"/>
        <v>Arabica</v>
      </c>
      <c r="O359"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f>_xlfn.XLOOKUP(orders!C360,customers!$A$1:$A$1001,customers!$B$1:$B$1001,,0)</f>
        <v>Tomasina Cotmore</v>
      </c>
      <c r="G360" s="2" t="str">
        <f>IF(_xlfn.XLOOKUP(orders!C360,customers!$A$1:$A$1001,customers!$C$1:$C$1001,,0)=0,"",_xlfn.XLOOKUP(orders!C360,customers!$A$1:$A$1001,customers!$C$1:$C$1001,,0))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6">
        <f t="shared" si="15"/>
        <v>29.784999999999997</v>
      </c>
      <c r="N360" t="str">
        <f t="shared" si="16"/>
        <v>Arabica</v>
      </c>
      <c r="O360"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f>_xlfn.XLOOKUP(orders!C361,customers!$A$1:$A$1001,customers!$B$1:$B$1001,,0)</f>
        <v>Yuma Skipsey</v>
      </c>
      <c r="G361" s="2" t="str">
        <f>IF(_xlfn.XLOOKUP(orders!C361,customers!$A$1:$A$1001,customers!$C$1:$C$1001,,0)=0,"",_xlfn.XLOOKUP(orders!C361,customers!$A$1:$A$1001,customers!$C$1:$C$1001,,0))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6">
        <f t="shared" si="15"/>
        <v>21.509999999999998</v>
      </c>
      <c r="N361" t="str">
        <f t="shared" si="16"/>
        <v>Robusta</v>
      </c>
      <c r="O361"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f>_xlfn.XLOOKUP(orders!C362,customers!$A$1:$A$1001,customers!$B$1:$B$1001,,0)</f>
        <v>Nicko Corps</v>
      </c>
      <c r="G362" s="2" t="str">
        <f>IF(_xlfn.XLOOKUP(orders!C362,customers!$A$1:$A$1001,customers!$C$1:$C$1001,,0)=0,"",_xlfn.XLOOKUP(orders!C362,customers!$A$1:$A$1001,customers!$C$1:$C$1001,,0))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6">
        <f t="shared" si="15"/>
        <v>41.169999999999995</v>
      </c>
      <c r="N362" t="str">
        <f t="shared" si="16"/>
        <v>Robusta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_xlfn.XLOOKUP(orders!C363,customers!$A$1:$A$1001,customers!$B$1:$B$1001,,0)</f>
        <v>Nicko Corps</v>
      </c>
      <c r="G363" s="2" t="str">
        <f>IF(_xlfn.XLOOKUP(orders!C363,customers!$A$1:$A$1001,customers!$C$1:$C$1001,,0)=0,"",_xlfn.XLOOKUP(orders!C363,customers!$A$1:$A$1001,customers!$C$1:$C$1001,,0))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6">
        <f t="shared" si="15"/>
        <v>5.97</v>
      </c>
      <c r="N363" t="str">
        <f t="shared" si="16"/>
        <v>Robusta</v>
      </c>
      <c r="O363"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f>_xlfn.XLOOKUP(orders!C364,customers!$A$1:$A$1001,customers!$B$1:$B$1001,,0)</f>
        <v>Feliks Babber</v>
      </c>
      <c r="G364" s="2" t="str">
        <f>IF(_xlfn.XLOOKUP(orders!C364,customers!$A$1:$A$1001,customers!$C$1:$C$1001,,0)=0,"",_xlfn.XLOOKUP(orders!C364,customers!$A$1:$A$1001,customers!$C$1:$C$1001,,0))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6">
        <f t="shared" si="15"/>
        <v>74.25</v>
      </c>
      <c r="N364" t="str">
        <f t="shared" si="16"/>
        <v>Excelsa</v>
      </c>
      <c r="O364"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f>_xlfn.XLOOKUP(orders!C365,customers!$A$1:$A$1001,customers!$B$1:$B$1001,,0)</f>
        <v>Kaja Loxton</v>
      </c>
      <c r="G365" s="2" t="str">
        <f>IF(_xlfn.XLOOKUP(orders!C365,customers!$A$1:$A$1001,customers!$C$1:$C$1001,,0)=0,"",_xlfn.XLOOKUP(orders!C365,customers!$A$1:$A$1001,customers!$C$1:$C$1001,,0))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6">
        <f t="shared" si="15"/>
        <v>87.300000000000011</v>
      </c>
      <c r="N365" t="str">
        <f t="shared" si="16"/>
        <v>Liberica</v>
      </c>
      <c r="O365"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f>_xlfn.XLOOKUP(orders!C366,customers!$A$1:$A$1001,customers!$B$1:$B$1001,,0)</f>
        <v>Parker Tofful</v>
      </c>
      <c r="G366" s="2" t="str">
        <f>IF(_xlfn.XLOOKUP(orders!C366,customers!$A$1:$A$1001,customers!$C$1:$C$1001,,0)=0,"",_xlfn.XLOOKUP(orders!C366,customers!$A$1:$A$1001,customers!$C$1:$C$1001,,0))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6">
        <f t="shared" si="15"/>
        <v>72.900000000000006</v>
      </c>
      <c r="N366" t="str">
        <f t="shared" si="16"/>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_xlfn.XLOOKUP(orders!C367,customers!$A$1:$A$1001,customers!$B$1:$B$1001,,0)</f>
        <v>Casi Gwinnett</v>
      </c>
      <c r="G367" s="2" t="str">
        <f>IF(_xlfn.XLOOKUP(orders!C367,customers!$A$1:$A$1001,customers!$C$1:$C$1001,,0)=0,"",_xlfn.XLOOKUP(orders!C367,customers!$A$1:$A$1001,customers!$C$1:$C$1001,,0))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6">
        <f t="shared" si="15"/>
        <v>7.77</v>
      </c>
      <c r="N367" t="str">
        <f t="shared" si="16"/>
        <v>Liberica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_xlfn.XLOOKUP(orders!C368,customers!$A$1:$A$1001,customers!$B$1:$B$1001,,0)</f>
        <v>Saree Ellesworth</v>
      </c>
      <c r="G368" s="2" t="str">
        <f>IF(_xlfn.XLOOKUP(orders!C368,customers!$A$1:$A$1001,customers!$C$1:$C$1001,,0)=0,"",_xlfn.XLOOKUP(orders!C368,customers!$A$1:$A$1001,customers!$C$1:$C$1001,,0))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6">
        <f t="shared" si="15"/>
        <v>43.74</v>
      </c>
      <c r="N368" t="str">
        <f t="shared" si="16"/>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_xlfn.XLOOKUP(orders!C369,customers!$A$1:$A$1001,customers!$B$1:$B$1001,,0)</f>
        <v>Silvio Iorizzi</v>
      </c>
      <c r="G369" s="2" t="str">
        <f>IF(_xlfn.XLOOKUP(orders!C369,customers!$A$1:$A$1001,customers!$C$1:$C$1001,,0)=0,"",_xlfn.XLOOKUP(orders!C369,customers!$A$1:$A$1001,customers!$C$1:$C$1001,,0))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6">
        <f t="shared" si="15"/>
        <v>8.73</v>
      </c>
      <c r="N369" t="str">
        <f t="shared" si="16"/>
        <v>Liberica</v>
      </c>
      <c r="O369"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f>_xlfn.XLOOKUP(orders!C370,customers!$A$1:$A$1001,customers!$B$1:$B$1001,,0)</f>
        <v>Leesa Flaonier</v>
      </c>
      <c r="G370" s="2" t="str">
        <f>IF(_xlfn.XLOOKUP(orders!C370,customers!$A$1:$A$1001,customers!$C$1:$C$1001,,0)=0,"",_xlfn.XLOOKUP(orders!C370,customers!$A$1:$A$1001,customers!$C$1:$C$1001,,0))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6">
        <f t="shared" si="15"/>
        <v>63.249999999999993</v>
      </c>
      <c r="N370" t="str">
        <f t="shared" si="16"/>
        <v>Excelsa</v>
      </c>
      <c r="O370"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f>_xlfn.XLOOKUP(orders!C371,customers!$A$1:$A$1001,customers!$B$1:$B$1001,,0)</f>
        <v>Abba Pummell</v>
      </c>
      <c r="G371" s="2" t="str">
        <f>IF(_xlfn.XLOOKUP(orders!C371,customers!$A$1:$A$1001,customers!$C$1:$C$1001,,0)=0,"",_xlfn.XLOOKUP(orders!C371,customers!$A$1:$A$1001,customers!$C$1:$C$1001,,0))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6">
        <f t="shared" si="15"/>
        <v>8.91</v>
      </c>
      <c r="N371" t="str">
        <f t="shared" si="16"/>
        <v>Excelsa</v>
      </c>
      <c r="O371"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f>_xlfn.XLOOKUP(orders!C372,customers!$A$1:$A$1001,customers!$B$1:$B$1001,,0)</f>
        <v>Corinna Catcheside</v>
      </c>
      <c r="G372" s="2" t="str">
        <f>IF(_xlfn.XLOOKUP(orders!C372,customers!$A$1:$A$1001,customers!$C$1:$C$1001,,0)=0,"",_xlfn.XLOOKUP(orders!C372,customers!$A$1:$A$1001,customers!$C$1:$C$1001,,0))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6">
        <f t="shared" si="15"/>
        <v>24.3</v>
      </c>
      <c r="N372" t="str">
        <f t="shared" si="16"/>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_xlfn.XLOOKUP(orders!C373,customers!$A$1:$A$1001,customers!$B$1:$B$1001,,0)</f>
        <v>Cortney Gibbonson</v>
      </c>
      <c r="G373" s="2" t="str">
        <f>IF(_xlfn.XLOOKUP(orders!C373,customers!$A$1:$A$1001,customers!$C$1:$C$1001,,0)=0,"",_xlfn.XLOOKUP(orders!C373,customers!$A$1:$A$1001,customers!$C$1:$C$1001,,0))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6">
        <f t="shared" si="15"/>
        <v>46.62</v>
      </c>
      <c r="N373" t="str">
        <f t="shared" si="16"/>
        <v>Arabica</v>
      </c>
      <c r="O373"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f>_xlfn.XLOOKUP(orders!C374,customers!$A$1:$A$1001,customers!$B$1:$B$1001,,0)</f>
        <v>Terri Farra</v>
      </c>
      <c r="G374" s="2" t="str">
        <f>IF(_xlfn.XLOOKUP(orders!C374,customers!$A$1:$A$1001,customers!$C$1:$C$1001,,0)=0,"",_xlfn.XLOOKUP(orders!C374,customers!$A$1:$A$1001,customers!$C$1:$C$1001,,0))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6">
        <f t="shared" si="15"/>
        <v>43.019999999999996</v>
      </c>
      <c r="N374" t="str">
        <f t="shared" si="16"/>
        <v>Robusta</v>
      </c>
      <c r="O374"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f>_xlfn.XLOOKUP(orders!C375,customers!$A$1:$A$1001,customers!$B$1:$B$1001,,0)</f>
        <v>Corney Curme</v>
      </c>
      <c r="G375" s="2" t="str">
        <f>IF(_xlfn.XLOOKUP(orders!C375,customers!$A$1:$A$1001,customers!$C$1:$C$1001,,0)=0,"",_xlfn.XLOOKUP(orders!C375,customers!$A$1:$A$1001,customers!$C$1:$C$1001,,0))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6">
        <f t="shared" si="15"/>
        <v>17.91</v>
      </c>
      <c r="N375" t="str">
        <f t="shared" si="16"/>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_xlfn.XLOOKUP(orders!C376,customers!$A$1:$A$1001,customers!$B$1:$B$1001,,0)</f>
        <v>Gothart Bamfield</v>
      </c>
      <c r="G376" s="2" t="str">
        <f>IF(_xlfn.XLOOKUP(orders!C376,customers!$A$1:$A$1001,customers!$C$1:$C$1001,,0)=0,"",_xlfn.XLOOKUP(orders!C376,customers!$A$1:$A$1001,customers!$C$1:$C$1001,,0))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6">
        <f t="shared" si="15"/>
        <v>38.04</v>
      </c>
      <c r="N376" t="str">
        <f t="shared" si="16"/>
        <v>Liberica</v>
      </c>
      <c r="O376"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f>_xlfn.XLOOKUP(orders!C377,customers!$A$1:$A$1001,customers!$B$1:$B$1001,,0)</f>
        <v>Waylin Hollingdale</v>
      </c>
      <c r="G377" s="2" t="str">
        <f>IF(_xlfn.XLOOKUP(orders!C377,customers!$A$1:$A$1001,customers!$C$1:$C$1001,,0)=0,"",_xlfn.XLOOKUP(orders!C377,customers!$A$1:$A$1001,customers!$C$1:$C$1001,,0))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6">
        <f t="shared" si="15"/>
        <v>6.75</v>
      </c>
      <c r="N377" t="str">
        <f t="shared" si="16"/>
        <v>Arabica</v>
      </c>
      <c r="O377"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f>_xlfn.XLOOKUP(orders!C378,customers!$A$1:$A$1001,customers!$B$1:$B$1001,,0)</f>
        <v>Judd De Leek</v>
      </c>
      <c r="G378" s="2" t="str">
        <f>IF(_xlfn.XLOOKUP(orders!C378,customers!$A$1:$A$1001,customers!$C$1:$C$1001,,0)=0,"",_xlfn.XLOOKUP(orders!C378,customers!$A$1:$A$1001,customers!$C$1:$C$1001,,0))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6">
        <f t="shared" si="15"/>
        <v>5.97</v>
      </c>
      <c r="N378" t="str">
        <f t="shared" si="16"/>
        <v>Robusta</v>
      </c>
      <c r="O378"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f>_xlfn.XLOOKUP(orders!C379,customers!$A$1:$A$1001,customers!$B$1:$B$1001,,0)</f>
        <v>Vanya Skullet</v>
      </c>
      <c r="G379" s="2" t="str">
        <f>IF(_xlfn.XLOOKUP(orders!C379,customers!$A$1:$A$1001,customers!$C$1:$C$1001,,0)=0,"",_xlfn.XLOOKUP(orders!C379,customers!$A$1:$A$1001,customers!$C$1:$C$1001,,0))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6">
        <f t="shared" si="15"/>
        <v>8.0549999999999997</v>
      </c>
      <c r="N379" t="str">
        <f t="shared" si="16"/>
        <v>Robusta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_xlfn.XLOOKUP(orders!C380,customers!$A$1:$A$1001,customers!$B$1:$B$1001,,0)</f>
        <v>Jany Rudeforth</v>
      </c>
      <c r="G380" s="2" t="str">
        <f>IF(_xlfn.XLOOKUP(orders!C380,customers!$A$1:$A$1001,customers!$C$1:$C$1001,,0)=0,"",_xlfn.XLOOKUP(orders!C380,customers!$A$1:$A$1001,customers!$C$1:$C$1001,,0))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6">
        <f t="shared" si="15"/>
        <v>23.31</v>
      </c>
      <c r="N380" t="str">
        <f t="shared" si="16"/>
        <v>Arabica</v>
      </c>
      <c r="O380"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f>_xlfn.XLOOKUP(orders!C381,customers!$A$1:$A$1001,customers!$B$1:$B$1001,,0)</f>
        <v>Ashbey Tomaszewski</v>
      </c>
      <c r="G381" s="2" t="str">
        <f>IF(_xlfn.XLOOKUP(orders!C381,customers!$A$1:$A$1001,customers!$C$1:$C$1001,,0)=0,"",_xlfn.XLOOKUP(orders!C381,customers!$A$1:$A$1001,customers!$C$1:$C$1001,,0))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6">
        <f t="shared" si="15"/>
        <v>43.019999999999996</v>
      </c>
      <c r="N381" t="str">
        <f t="shared" si="16"/>
        <v>Robusta</v>
      </c>
      <c r="O381"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f>_xlfn.XLOOKUP(orders!C382,customers!$A$1:$A$1001,customers!$B$1:$B$1001,,0)</f>
        <v>Flynn Antony</v>
      </c>
      <c r="G382" s="2" t="str">
        <f>IF(_xlfn.XLOOKUP(orders!C382,customers!$A$1:$A$1001,customers!$C$1:$C$1001,,0)=0,"",_xlfn.XLOOKUP(orders!C382,customers!$A$1:$A$1001,customers!$C$1:$C$1001,,0))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6">
        <f t="shared" si="15"/>
        <v>23.31</v>
      </c>
      <c r="N382" t="str">
        <f t="shared" si="16"/>
        <v>Liberica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_xlfn.XLOOKUP(orders!C383,customers!$A$1:$A$1001,customers!$B$1:$B$1001,,0)</f>
        <v>Pren Bess</v>
      </c>
      <c r="G383" s="2" t="str">
        <f>IF(_xlfn.XLOOKUP(orders!C383,customers!$A$1:$A$1001,customers!$C$1:$C$1001,,0)=0,"",_xlfn.XLOOKUP(orders!C383,customers!$A$1:$A$1001,customers!$C$1:$C$1001,,0))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6">
        <f t="shared" si="15"/>
        <v>14.924999999999999</v>
      </c>
      <c r="N383" t="str">
        <f t="shared" si="16"/>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_xlfn.XLOOKUP(orders!C384,customers!$A$1:$A$1001,customers!$B$1:$B$1001,,0)</f>
        <v>Elka Windress</v>
      </c>
      <c r="G384" s="2" t="str">
        <f>IF(_xlfn.XLOOKUP(orders!C384,customers!$A$1:$A$1001,customers!$C$1:$C$1001,,0)=0,"",_xlfn.XLOOKUP(orders!C384,customers!$A$1:$A$1001,customers!$C$1:$C$1001,,0))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6">
        <f t="shared" si="15"/>
        <v>21.87</v>
      </c>
      <c r="N384" t="str">
        <f t="shared" si="16"/>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_xlfn.XLOOKUP(orders!C385,customers!$A$1:$A$1001,customers!$B$1:$B$1001,,0)</f>
        <v>Marty Kidstoun</v>
      </c>
      <c r="G385" s="2" t="str">
        <f>IF(_xlfn.XLOOKUP(orders!C385,customers!$A$1:$A$1001,customers!$C$1:$C$1001,,0)=0,"",_xlfn.XLOOKUP(orders!C385,customers!$A$1:$A$1001,customers!$C$1:$C$1001,,0))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6">
        <f t="shared" si="15"/>
        <v>53.46</v>
      </c>
      <c r="N385" t="str">
        <f t="shared" si="16"/>
        <v>Excelsa</v>
      </c>
      <c r="O385"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f>_xlfn.XLOOKUP(orders!C386,customers!$A$1:$A$1001,customers!$B$1:$B$1001,,0)</f>
        <v>Nickey Dimbleby</v>
      </c>
      <c r="G386" s="2" t="str">
        <f>IF(_xlfn.XLOOKUP(orders!C386,customers!$A$1:$A$1001,customers!$C$1:$C$1001,,0)=0,"",_xlfn.XLOOKUP(orders!C386,customers!$A$1:$A$1001,customers!$C$1:$C$1001,,0))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6">
        <f t="shared" si="15"/>
        <v>119.13999999999999</v>
      </c>
      <c r="N386" t="str">
        <f t="shared" si="16"/>
        <v>Arabica</v>
      </c>
      <c r="O386"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f>_xlfn.XLOOKUP(orders!C387,customers!$A$1:$A$1001,customers!$B$1:$B$1001,,0)</f>
        <v>Virgil Baumadier</v>
      </c>
      <c r="G387" s="2" t="str">
        <f>IF(_xlfn.XLOOKUP(orders!C387,customers!$A$1:$A$1001,customers!$C$1:$C$1001,,0)=0,"",_xlfn.XLOOKUP(orders!C387,customers!$A$1:$A$1001,customers!$C$1:$C$1001,,0))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6">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_xlfn.XLOOKUP(orders!C388,customers!$A$1:$A$1001,customers!$B$1:$B$1001,,0)</f>
        <v>Lenore Messenbird</v>
      </c>
      <c r="G388" s="2" t="str">
        <f>IF(_xlfn.XLOOKUP(orders!C388,customers!$A$1:$A$1001,customers!$C$1:$C$1001,,0)=0,"",_xlfn.XLOOKUP(orders!C388,customers!$A$1:$A$1001,customers!$C$1:$C$1001,,0))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6">
        <f t="shared" si="18"/>
        <v>17.91</v>
      </c>
      <c r="N388" t="str">
        <f t="shared" si="19"/>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_xlfn.XLOOKUP(orders!C389,customers!$A$1:$A$1001,customers!$B$1:$B$1001,,0)</f>
        <v>Shirleen Welds</v>
      </c>
      <c r="G389" s="2" t="str">
        <f>IF(_xlfn.XLOOKUP(orders!C389,customers!$A$1:$A$1001,customers!$C$1:$C$1001,,0)=0,"",_xlfn.XLOOKUP(orders!C389,customers!$A$1:$A$1001,customers!$C$1:$C$1001,,0))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6">
        <f t="shared" si="18"/>
        <v>74.25</v>
      </c>
      <c r="N389" t="str">
        <f t="shared" si="19"/>
        <v>Excelsa</v>
      </c>
      <c r="O389"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f>_xlfn.XLOOKUP(orders!C390,customers!$A$1:$A$1001,customers!$B$1:$B$1001,,0)</f>
        <v>Maisie Sarvar</v>
      </c>
      <c r="G390" s="2" t="str">
        <f>IF(_xlfn.XLOOKUP(orders!C390,customers!$A$1:$A$1001,customers!$C$1:$C$1001,,0)=0,"",_xlfn.XLOOKUP(orders!C390,customers!$A$1:$A$1001,customers!$C$1:$C$1001,,0))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6">
        <f t="shared" si="18"/>
        <v>11.654999999999999</v>
      </c>
      <c r="N390" t="str">
        <f t="shared" si="19"/>
        <v>Liberica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_xlfn.XLOOKUP(orders!C391,customers!$A$1:$A$1001,customers!$B$1:$B$1001,,0)</f>
        <v>Andrej Havick</v>
      </c>
      <c r="G391" s="2" t="str">
        <f>IF(_xlfn.XLOOKUP(orders!C391,customers!$A$1:$A$1001,customers!$C$1:$C$1001,,0)=0,"",_xlfn.XLOOKUP(orders!C391,customers!$A$1:$A$1001,customers!$C$1:$C$1001,,0))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6">
        <f t="shared" si="18"/>
        <v>23.31</v>
      </c>
      <c r="N391" t="str">
        <f t="shared" si="19"/>
        <v>Liberica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_xlfn.XLOOKUP(orders!C392,customers!$A$1:$A$1001,customers!$B$1:$B$1001,,0)</f>
        <v>Sloan Diviny</v>
      </c>
      <c r="G392" s="2" t="str">
        <f>IF(_xlfn.XLOOKUP(orders!C392,customers!$A$1:$A$1001,customers!$C$1:$C$1001,,0)=0,"",_xlfn.XLOOKUP(orders!C392,customers!$A$1:$A$1001,customers!$C$1:$C$1001,,0))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6">
        <f t="shared" si="18"/>
        <v>14.58</v>
      </c>
      <c r="N392" t="str">
        <f t="shared" si="19"/>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_xlfn.XLOOKUP(orders!C393,customers!$A$1:$A$1001,customers!$B$1:$B$1001,,0)</f>
        <v>Itch Norquoy</v>
      </c>
      <c r="G393" s="2" t="str">
        <f>IF(_xlfn.XLOOKUP(orders!C393,customers!$A$1:$A$1001,customers!$C$1:$C$1001,,0)=0,"",_xlfn.XLOOKUP(orders!C393,customers!$A$1:$A$1001,customers!$C$1:$C$1001,,0))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6">
        <f t="shared" si="18"/>
        <v>13.5</v>
      </c>
      <c r="N393" t="str">
        <f t="shared" si="19"/>
        <v>Arabica</v>
      </c>
      <c r="O393"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f>_xlfn.XLOOKUP(orders!C394,customers!$A$1:$A$1001,customers!$B$1:$B$1001,,0)</f>
        <v>Anson Iddison</v>
      </c>
      <c r="G394" s="2" t="str">
        <f>IF(_xlfn.XLOOKUP(orders!C394,customers!$A$1:$A$1001,customers!$C$1:$C$1001,,0)=0,"",_xlfn.XLOOKUP(orders!C394,customers!$A$1:$A$1001,customers!$C$1:$C$1001,,0))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6">
        <f t="shared" si="18"/>
        <v>89.1</v>
      </c>
      <c r="N394" t="str">
        <f t="shared" si="19"/>
        <v>Excelsa</v>
      </c>
      <c r="O394"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f>_xlfn.XLOOKUP(orders!C395,customers!$A$1:$A$1001,customers!$B$1:$B$1001,,0)</f>
        <v>Anson Iddison</v>
      </c>
      <c r="G395" s="2" t="str">
        <f>IF(_xlfn.XLOOKUP(orders!C395,customers!$A$1:$A$1001,customers!$C$1:$C$1001,,0)=0,"",_xlfn.XLOOKUP(orders!C395,customers!$A$1:$A$1001,customers!$C$1:$C$1001,,0))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6">
        <f t="shared" si="18"/>
        <v>3.8849999999999998</v>
      </c>
      <c r="N395" t="str">
        <f t="shared" si="19"/>
        <v>Arabica</v>
      </c>
      <c r="O395"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f>_xlfn.XLOOKUP(orders!C396,customers!$A$1:$A$1001,customers!$B$1:$B$1001,,0)</f>
        <v>Randal Longfield</v>
      </c>
      <c r="G396" s="2" t="str">
        <f>IF(_xlfn.XLOOKUP(orders!C396,customers!$A$1:$A$1001,customers!$C$1:$C$1001,,0)=0,"",_xlfn.XLOOKUP(orders!C396,customers!$A$1:$A$1001,customers!$C$1:$C$1001,,0))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6">
        <f t="shared" si="18"/>
        <v>109.93999999999998</v>
      </c>
      <c r="N396" t="str">
        <f t="shared" si="19"/>
        <v>Robusta</v>
      </c>
      <c r="O396"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f>_xlfn.XLOOKUP(orders!C397,customers!$A$1:$A$1001,customers!$B$1:$B$1001,,0)</f>
        <v>Gregorius Kislingbury</v>
      </c>
      <c r="G397" s="2" t="str">
        <f>IF(_xlfn.XLOOKUP(orders!C397,customers!$A$1:$A$1001,customers!$C$1:$C$1001,,0)=0,"",_xlfn.XLOOKUP(orders!C397,customers!$A$1:$A$1001,customers!$C$1:$C$1001,,0))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6">
        <f t="shared" si="18"/>
        <v>46.62</v>
      </c>
      <c r="N397" t="str">
        <f t="shared" si="19"/>
        <v>Liberica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_xlfn.XLOOKUP(orders!C398,customers!$A$1:$A$1001,customers!$B$1:$B$1001,,0)</f>
        <v>Xenos Gibbons</v>
      </c>
      <c r="G398" s="2" t="str">
        <f>IF(_xlfn.XLOOKUP(orders!C398,customers!$A$1:$A$1001,customers!$C$1:$C$1001,,0)=0,"",_xlfn.XLOOKUP(orders!C398,customers!$A$1:$A$1001,customers!$C$1:$C$1001,,0))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6">
        <f t="shared" si="18"/>
        <v>38.849999999999994</v>
      </c>
      <c r="N398" t="str">
        <f t="shared" si="19"/>
        <v>Arabica</v>
      </c>
      <c r="O398"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f>_xlfn.XLOOKUP(orders!C399,customers!$A$1:$A$1001,customers!$B$1:$B$1001,,0)</f>
        <v>Fleur Parres</v>
      </c>
      <c r="G399" s="2" t="str">
        <f>IF(_xlfn.XLOOKUP(orders!C399,customers!$A$1:$A$1001,customers!$C$1:$C$1001,,0)=0,"",_xlfn.XLOOKUP(orders!C399,customers!$A$1:$A$1001,customers!$C$1:$C$1001,,0))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6">
        <f t="shared" si="18"/>
        <v>31.08</v>
      </c>
      <c r="N399" t="str">
        <f t="shared" si="19"/>
        <v>Liberica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_xlfn.XLOOKUP(orders!C400,customers!$A$1:$A$1001,customers!$B$1:$B$1001,,0)</f>
        <v>Gran Sibray</v>
      </c>
      <c r="G400" s="2" t="str">
        <f>IF(_xlfn.XLOOKUP(orders!C400,customers!$A$1:$A$1001,customers!$C$1:$C$1001,,0)=0,"",_xlfn.XLOOKUP(orders!C400,customers!$A$1:$A$1001,customers!$C$1:$C$1001,,0))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6">
        <f t="shared" si="18"/>
        <v>17.91</v>
      </c>
      <c r="N400" t="str">
        <f t="shared" si="19"/>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_xlfn.XLOOKUP(orders!C401,customers!$A$1:$A$1001,customers!$B$1:$B$1001,,0)</f>
        <v>Ingelbert Hotchkin</v>
      </c>
      <c r="G401" s="2" t="str">
        <f>IF(_xlfn.XLOOKUP(orders!C401,customers!$A$1:$A$1001,customers!$C$1:$C$1001,,0)=0,"",_xlfn.XLOOKUP(orders!C401,customers!$A$1:$A$1001,customers!$C$1:$C$1001,,0))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6">
        <f t="shared" si="18"/>
        <v>167.67000000000002</v>
      </c>
      <c r="N401" t="str">
        <f t="shared" si="19"/>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_xlfn.XLOOKUP(orders!C402,customers!$A$1:$A$1001,customers!$B$1:$B$1001,,0)</f>
        <v>Neely Broadberrie</v>
      </c>
      <c r="G402" s="2" t="str">
        <f>IF(_xlfn.XLOOKUP(orders!C402,customers!$A$1:$A$1001,customers!$C$1:$C$1001,,0)=0,"",_xlfn.XLOOKUP(orders!C402,customers!$A$1:$A$1001,customers!$C$1:$C$1001,,0))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6">
        <f t="shared" si="18"/>
        <v>63.4</v>
      </c>
      <c r="N402" t="str">
        <f t="shared" si="19"/>
        <v>Liberica</v>
      </c>
      <c r="O40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f>_xlfn.XLOOKUP(orders!C403,customers!$A$1:$A$1001,customers!$B$1:$B$1001,,0)</f>
        <v>Rutger Pithcock</v>
      </c>
      <c r="G403" s="2" t="str">
        <f>IF(_xlfn.XLOOKUP(orders!C403,customers!$A$1:$A$1001,customers!$C$1:$C$1001,,0)=0,"",_xlfn.XLOOKUP(orders!C403,customers!$A$1:$A$1001,customers!$C$1:$C$1001,,0))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6">
        <f t="shared" si="18"/>
        <v>8.73</v>
      </c>
      <c r="N403" t="str">
        <f t="shared" si="19"/>
        <v>Liberica</v>
      </c>
      <c r="O403"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f>_xlfn.XLOOKUP(orders!C404,customers!$A$1:$A$1001,customers!$B$1:$B$1001,,0)</f>
        <v>Gale Croysdale</v>
      </c>
      <c r="G404" s="2" t="str">
        <f>IF(_xlfn.XLOOKUP(orders!C404,customers!$A$1:$A$1001,customers!$C$1:$C$1001,,0)=0,"",_xlfn.XLOOKUP(orders!C404,customers!$A$1:$A$1001,customers!$C$1:$C$1001,,0))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6">
        <f t="shared" si="18"/>
        <v>26.849999999999998</v>
      </c>
      <c r="N404" t="str">
        <f t="shared" si="19"/>
        <v>Robusta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_xlfn.XLOOKUP(orders!C405,customers!$A$1:$A$1001,customers!$B$1:$B$1001,,0)</f>
        <v>Benedetto Gozzett</v>
      </c>
      <c r="G405" s="2" t="str">
        <f>IF(_xlfn.XLOOKUP(orders!C405,customers!$A$1:$A$1001,customers!$C$1:$C$1001,,0)=0,"",_xlfn.XLOOKUP(orders!C405,customers!$A$1:$A$1001,customers!$C$1:$C$1001,,0))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6">
        <f t="shared" si="18"/>
        <v>9.51</v>
      </c>
      <c r="N405" t="str">
        <f t="shared" si="19"/>
        <v>Liberica</v>
      </c>
      <c r="O405"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f>_xlfn.XLOOKUP(orders!C406,customers!$A$1:$A$1001,customers!$B$1:$B$1001,,0)</f>
        <v>Tania Craggs</v>
      </c>
      <c r="G406" s="2" t="str">
        <f>IF(_xlfn.XLOOKUP(orders!C406,customers!$A$1:$A$1001,customers!$C$1:$C$1001,,0)=0,"",_xlfn.XLOOKUP(orders!C406,customers!$A$1:$A$1001,customers!$C$1:$C$1001,,0))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6">
        <f t="shared" si="18"/>
        <v>39.799999999999997</v>
      </c>
      <c r="N406" t="str">
        <f t="shared" si="19"/>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_xlfn.XLOOKUP(orders!C407,customers!$A$1:$A$1001,customers!$B$1:$B$1001,,0)</f>
        <v>Leonie Cullrford</v>
      </c>
      <c r="G407" s="2" t="str">
        <f>IF(_xlfn.XLOOKUP(orders!C407,customers!$A$1:$A$1001,customers!$C$1:$C$1001,,0)=0,"",_xlfn.XLOOKUP(orders!C407,customers!$A$1:$A$1001,customers!$C$1:$C$1001,,0))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6">
        <f t="shared" si="18"/>
        <v>24.75</v>
      </c>
      <c r="N407" t="str">
        <f t="shared" si="19"/>
        <v>Excelsa</v>
      </c>
      <c r="O407"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f>_xlfn.XLOOKUP(orders!C408,customers!$A$1:$A$1001,customers!$B$1:$B$1001,,0)</f>
        <v>Auguste Rizon</v>
      </c>
      <c r="G408" s="2" t="str">
        <f>IF(_xlfn.XLOOKUP(orders!C408,customers!$A$1:$A$1001,customers!$C$1:$C$1001,,0)=0,"",_xlfn.XLOOKUP(orders!C408,customers!$A$1:$A$1001,customers!$C$1:$C$1001,,0))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6">
        <f t="shared" si="18"/>
        <v>68.75</v>
      </c>
      <c r="N408" t="str">
        <f t="shared" si="19"/>
        <v>Excelsa</v>
      </c>
      <c r="O408"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f>_xlfn.XLOOKUP(orders!C409,customers!$A$1:$A$1001,customers!$B$1:$B$1001,,0)</f>
        <v>Lorin Guerrazzi</v>
      </c>
      <c r="G409" s="2" t="str">
        <f>IF(_xlfn.XLOOKUP(orders!C409,customers!$A$1:$A$1001,customers!$C$1:$C$1001,,0)=0,"",_xlfn.XLOOKUP(orders!C409,customers!$A$1:$A$1001,customers!$C$1:$C$1001,,0))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6">
        <f t="shared" si="18"/>
        <v>49.5</v>
      </c>
      <c r="N409" t="str">
        <f t="shared" si="19"/>
        <v>Excelsa</v>
      </c>
      <c r="O409"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f>_xlfn.XLOOKUP(orders!C410,customers!$A$1:$A$1001,customers!$B$1:$B$1001,,0)</f>
        <v>Felice Miell</v>
      </c>
      <c r="G410" s="2" t="str">
        <f>IF(_xlfn.XLOOKUP(orders!C410,customers!$A$1:$A$1001,customers!$C$1:$C$1001,,0)=0,"",_xlfn.XLOOKUP(orders!C410,customers!$A$1:$A$1001,customers!$C$1:$C$1001,,0))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6">
        <f t="shared" si="18"/>
        <v>51.749999999999993</v>
      </c>
      <c r="N410" t="str">
        <f t="shared" si="19"/>
        <v>Arabica</v>
      </c>
      <c r="O410"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f>_xlfn.XLOOKUP(orders!C411,customers!$A$1:$A$1001,customers!$B$1:$B$1001,,0)</f>
        <v>Hamish Skeech</v>
      </c>
      <c r="G411" s="2" t="str">
        <f>IF(_xlfn.XLOOKUP(orders!C411,customers!$A$1:$A$1001,customers!$C$1:$C$1001,,0)=0,"",_xlfn.XLOOKUP(orders!C411,customers!$A$1:$A$1001,customers!$C$1:$C$1001,,0))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6">
        <f t="shared" si="18"/>
        <v>47.55</v>
      </c>
      <c r="N411" t="str">
        <f t="shared" si="19"/>
        <v>Liberica</v>
      </c>
      <c r="O411"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f>_xlfn.XLOOKUP(orders!C412,customers!$A$1:$A$1001,customers!$B$1:$B$1001,,0)</f>
        <v>Giordano Lorenzin</v>
      </c>
      <c r="G412" s="2" t="str">
        <f>IF(_xlfn.XLOOKUP(orders!C412,customers!$A$1:$A$1001,customers!$C$1:$C$1001,,0)=0,"",_xlfn.XLOOKUP(orders!C412,customers!$A$1:$A$1001,customers!$C$1:$C$1001,,0))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6">
        <f t="shared" si="18"/>
        <v>15.54</v>
      </c>
      <c r="N412" t="str">
        <f t="shared" si="19"/>
        <v>Arabica</v>
      </c>
      <c r="O41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f>_xlfn.XLOOKUP(orders!C413,customers!$A$1:$A$1001,customers!$B$1:$B$1001,,0)</f>
        <v>Harwilll Bishell</v>
      </c>
      <c r="G413" s="2" t="str">
        <f>IF(_xlfn.XLOOKUP(orders!C413,customers!$A$1:$A$1001,customers!$C$1:$C$1001,,0)=0,"",_xlfn.XLOOKUP(orders!C413,customers!$A$1:$A$1001,customers!$C$1:$C$1001,,0))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6">
        <f t="shared" si="18"/>
        <v>87.300000000000011</v>
      </c>
      <c r="N413" t="str">
        <f t="shared" si="19"/>
        <v>Liberica</v>
      </c>
      <c r="O413"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f>_xlfn.XLOOKUP(orders!C414,customers!$A$1:$A$1001,customers!$B$1:$B$1001,,0)</f>
        <v>Freeland Missenden</v>
      </c>
      <c r="G414" s="2" t="str">
        <f>IF(_xlfn.XLOOKUP(orders!C414,customers!$A$1:$A$1001,customers!$C$1:$C$1001,,0)=0,"",_xlfn.XLOOKUP(orders!C414,customers!$A$1:$A$1001,customers!$C$1:$C$1001,,0))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6">
        <f t="shared" si="18"/>
        <v>56.25</v>
      </c>
      <c r="N414" t="str">
        <f t="shared" si="19"/>
        <v>Arabica</v>
      </c>
      <c r="O414"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f>_xlfn.XLOOKUP(orders!C415,customers!$A$1:$A$1001,customers!$B$1:$B$1001,,0)</f>
        <v>Waylan Springall</v>
      </c>
      <c r="G415" s="2" t="str">
        <f>IF(_xlfn.XLOOKUP(orders!C415,customers!$A$1:$A$1001,customers!$C$1:$C$1001,,0)=0,"",_xlfn.XLOOKUP(orders!C415,customers!$A$1:$A$1001,customers!$C$1:$C$1001,,0))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6">
        <f t="shared" si="18"/>
        <v>36.454999999999998</v>
      </c>
      <c r="N415" t="str">
        <f t="shared" si="19"/>
        <v>Liberica</v>
      </c>
      <c r="O415"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f>_xlfn.XLOOKUP(orders!C416,customers!$A$1:$A$1001,customers!$B$1:$B$1001,,0)</f>
        <v>Kiri Avramow</v>
      </c>
      <c r="G416" s="2" t="str">
        <f>IF(_xlfn.XLOOKUP(orders!C416,customers!$A$1:$A$1001,customers!$C$1:$C$1001,,0)=0,"",_xlfn.XLOOKUP(orders!C416,customers!$A$1:$A$1001,customers!$C$1:$C$1001,,0))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6">
        <f t="shared" si="18"/>
        <v>10.754999999999999</v>
      </c>
      <c r="N416" t="str">
        <f t="shared" si="19"/>
        <v>Robusta</v>
      </c>
      <c r="O416"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f>_xlfn.XLOOKUP(orders!C417,customers!$A$1:$A$1001,customers!$B$1:$B$1001,,0)</f>
        <v>Gregg Hawkyens</v>
      </c>
      <c r="G417" s="2" t="str">
        <f>IF(_xlfn.XLOOKUP(orders!C417,customers!$A$1:$A$1001,customers!$C$1:$C$1001,,0)=0,"",_xlfn.XLOOKUP(orders!C417,customers!$A$1:$A$1001,customers!$C$1:$C$1001,,0))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6">
        <f t="shared" si="18"/>
        <v>8.9550000000000001</v>
      </c>
      <c r="N417" t="str">
        <f t="shared" si="19"/>
        <v>Robusta</v>
      </c>
      <c r="O417"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f>_xlfn.XLOOKUP(orders!C418,customers!$A$1:$A$1001,customers!$B$1:$B$1001,,0)</f>
        <v>Reggis Pracy</v>
      </c>
      <c r="G418" s="2" t="str">
        <f>IF(_xlfn.XLOOKUP(orders!C418,customers!$A$1:$A$1001,customers!$C$1:$C$1001,,0)=0,"",_xlfn.XLOOKUP(orders!C418,customers!$A$1:$A$1001,customers!$C$1:$C$1001,,0))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6">
        <f t="shared" si="18"/>
        <v>23.31</v>
      </c>
      <c r="N418" t="str">
        <f t="shared" si="19"/>
        <v>Arabica</v>
      </c>
      <c r="O418"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f>_xlfn.XLOOKUP(orders!C419,customers!$A$1:$A$1001,customers!$B$1:$B$1001,,0)</f>
        <v>Paula Denis</v>
      </c>
      <c r="G419" s="2" t="str">
        <f>IF(_xlfn.XLOOKUP(orders!C419,customers!$A$1:$A$1001,customers!$C$1:$C$1001,,0)=0,"",_xlfn.XLOOKUP(orders!C419,customers!$A$1:$A$1001,customers!$C$1:$C$1001,,0))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6">
        <f t="shared" si="18"/>
        <v>29.784999999999997</v>
      </c>
      <c r="N419" t="str">
        <f t="shared" si="19"/>
        <v>Arabica</v>
      </c>
      <c r="O419"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f>_xlfn.XLOOKUP(orders!C420,customers!$A$1:$A$1001,customers!$B$1:$B$1001,,0)</f>
        <v>Broderick McGilvra</v>
      </c>
      <c r="G420" s="2" t="str">
        <f>IF(_xlfn.XLOOKUP(orders!C420,customers!$A$1:$A$1001,customers!$C$1:$C$1001,,0)=0,"",_xlfn.XLOOKUP(orders!C420,customers!$A$1:$A$1001,customers!$C$1:$C$1001,,0))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6">
        <f t="shared" si="18"/>
        <v>148.92499999999998</v>
      </c>
      <c r="N420" t="str">
        <f t="shared" si="19"/>
        <v>Arabica</v>
      </c>
      <c r="O420"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f>_xlfn.XLOOKUP(orders!C421,customers!$A$1:$A$1001,customers!$B$1:$B$1001,,0)</f>
        <v>Annabella Danzey</v>
      </c>
      <c r="G421" s="2" t="str">
        <f>IF(_xlfn.XLOOKUP(orders!C421,customers!$A$1:$A$1001,customers!$C$1:$C$1001,,0)=0,"",_xlfn.XLOOKUP(orders!C421,customers!$A$1:$A$1001,customers!$C$1:$C$1001,,0))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6">
        <f t="shared" si="18"/>
        <v>8.73</v>
      </c>
      <c r="N421" t="str">
        <f t="shared" si="19"/>
        <v>Liberica</v>
      </c>
      <c r="O421"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f>_xlfn.XLOOKUP(orders!C422,customers!$A$1:$A$1001,customers!$B$1:$B$1001,,0)</f>
        <v>Terri Farra</v>
      </c>
      <c r="G422" s="2" t="str">
        <f>IF(_xlfn.XLOOKUP(orders!C422,customers!$A$1:$A$1001,customers!$C$1:$C$1001,,0)=0,"",_xlfn.XLOOKUP(orders!C422,customers!$A$1:$A$1001,customers!$C$1:$C$1001,,0))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6">
        <f t="shared" si="18"/>
        <v>31.08</v>
      </c>
      <c r="N422" t="str">
        <f t="shared" si="19"/>
        <v>Liberica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_xlfn.XLOOKUP(orders!C423,customers!$A$1:$A$1001,customers!$B$1:$B$1001,,0)</f>
        <v>Terri Farra</v>
      </c>
      <c r="G423" s="2" t="str">
        <f>IF(_xlfn.XLOOKUP(orders!C423,customers!$A$1:$A$1001,customers!$C$1:$C$1001,,0)=0,"",_xlfn.XLOOKUP(orders!C423,customers!$A$1:$A$1001,customers!$C$1:$C$1001,,0))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6">
        <f t="shared" si="18"/>
        <v>137.31</v>
      </c>
      <c r="N423" t="str">
        <f t="shared" si="19"/>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_xlfn.XLOOKUP(orders!C424,customers!$A$1:$A$1001,customers!$B$1:$B$1001,,0)</f>
        <v>Nevins Glowacz</v>
      </c>
      <c r="G424" s="2" t="str">
        <f>IF(_xlfn.XLOOKUP(orders!C424,customers!$A$1:$A$1001,customers!$C$1:$C$1001,,0)=0,"",_xlfn.XLOOKUP(orders!C424,customers!$A$1:$A$1001,customers!$C$1:$C$1001,,0))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6">
        <f t="shared" si="18"/>
        <v>29.849999999999998</v>
      </c>
      <c r="N424" t="str">
        <f t="shared" si="19"/>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_xlfn.XLOOKUP(orders!C425,customers!$A$1:$A$1001,customers!$B$1:$B$1001,,0)</f>
        <v>Adelice Isabell</v>
      </c>
      <c r="G425" s="2" t="str">
        <f>IF(_xlfn.XLOOKUP(orders!C425,customers!$A$1:$A$1001,customers!$C$1:$C$1001,,0)=0,"",_xlfn.XLOOKUP(orders!C425,customers!$A$1:$A$1001,customers!$C$1:$C$1001,,0))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6">
        <f t="shared" si="18"/>
        <v>17.91</v>
      </c>
      <c r="N425" t="str">
        <f t="shared" si="19"/>
        <v>Robusta</v>
      </c>
      <c r="O425"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f>_xlfn.XLOOKUP(orders!C426,customers!$A$1:$A$1001,customers!$B$1:$B$1001,,0)</f>
        <v>Yulma Dombrell</v>
      </c>
      <c r="G426" s="2" t="str">
        <f>IF(_xlfn.XLOOKUP(orders!C426,customers!$A$1:$A$1001,customers!$C$1:$C$1001,,0)=0,"",_xlfn.XLOOKUP(orders!C426,customers!$A$1:$A$1001,customers!$C$1:$C$1001,,0))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6">
        <f t="shared" si="18"/>
        <v>26.73</v>
      </c>
      <c r="N426" t="str">
        <f t="shared" si="19"/>
        <v>Excelsa</v>
      </c>
      <c r="O426"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f>_xlfn.XLOOKUP(orders!C427,customers!$A$1:$A$1001,customers!$B$1:$B$1001,,0)</f>
        <v>Alric Darth</v>
      </c>
      <c r="G427" s="2" t="str">
        <f>IF(_xlfn.XLOOKUP(orders!C427,customers!$A$1:$A$1001,customers!$C$1:$C$1001,,0)=0,"",_xlfn.XLOOKUP(orders!C427,customers!$A$1:$A$1001,customers!$C$1:$C$1001,,0))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6">
        <f t="shared" si="18"/>
        <v>17.899999999999999</v>
      </c>
      <c r="N427" t="str">
        <f t="shared" si="19"/>
        <v>Robusta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_xlfn.XLOOKUP(orders!C428,customers!$A$1:$A$1001,customers!$B$1:$B$1001,,0)</f>
        <v>Manuel Darrigoe</v>
      </c>
      <c r="G428" s="2" t="str">
        <f>IF(_xlfn.XLOOKUP(orders!C428,customers!$A$1:$A$1001,customers!$C$1:$C$1001,,0)=0,"",_xlfn.XLOOKUP(orders!C428,customers!$A$1:$A$1001,customers!$C$1:$C$1001,,0))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6">
        <f t="shared" si="18"/>
        <v>14.339999999999998</v>
      </c>
      <c r="N428" t="str">
        <f t="shared" si="19"/>
        <v>Robusta</v>
      </c>
      <c r="O428"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f>_xlfn.XLOOKUP(orders!C429,customers!$A$1:$A$1001,customers!$B$1:$B$1001,,0)</f>
        <v>Kynthia Berick</v>
      </c>
      <c r="G429" s="2" t="str">
        <f>IF(_xlfn.XLOOKUP(orders!C429,customers!$A$1:$A$1001,customers!$C$1:$C$1001,,0)=0,"",_xlfn.XLOOKUP(orders!C429,customers!$A$1:$A$1001,customers!$C$1:$C$1001,,0))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6">
        <f t="shared" si="18"/>
        <v>77.624999999999986</v>
      </c>
      <c r="N429" t="str">
        <f t="shared" si="19"/>
        <v>Arabica</v>
      </c>
      <c r="O429"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f>_xlfn.XLOOKUP(orders!C430,customers!$A$1:$A$1001,customers!$B$1:$B$1001,,0)</f>
        <v>Minetta Ackrill</v>
      </c>
      <c r="G430" s="2" t="str">
        <f>IF(_xlfn.XLOOKUP(orders!C430,customers!$A$1:$A$1001,customers!$C$1:$C$1001,,0)=0,"",_xlfn.XLOOKUP(orders!C430,customers!$A$1:$A$1001,customers!$C$1:$C$1001,,0))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6">
        <f t="shared" si="18"/>
        <v>59.75</v>
      </c>
      <c r="N430" t="str">
        <f t="shared" si="19"/>
        <v>Robusta</v>
      </c>
      <c r="O430"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f>_xlfn.XLOOKUP(orders!C431,customers!$A$1:$A$1001,customers!$B$1:$B$1001,,0)</f>
        <v>Terri Farra</v>
      </c>
      <c r="G431" s="2" t="str">
        <f>IF(_xlfn.XLOOKUP(orders!C431,customers!$A$1:$A$1001,customers!$C$1:$C$1001,,0)=0,"",_xlfn.XLOOKUP(orders!C431,customers!$A$1:$A$1001,customers!$C$1:$C$1001,,0))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6">
        <f t="shared" si="18"/>
        <v>77.699999999999989</v>
      </c>
      <c r="N431" t="str">
        <f t="shared" si="19"/>
        <v>Arabica</v>
      </c>
      <c r="O431"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f>_xlfn.XLOOKUP(orders!C432,customers!$A$1:$A$1001,customers!$B$1:$B$1001,,0)</f>
        <v>Melosa Kippen</v>
      </c>
      <c r="G432" s="2" t="str">
        <f>IF(_xlfn.XLOOKUP(orders!C432,customers!$A$1:$A$1001,customers!$C$1:$C$1001,,0)=0,"",_xlfn.XLOOKUP(orders!C432,customers!$A$1:$A$1001,customers!$C$1:$C$1001,,0))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6">
        <f t="shared" si="18"/>
        <v>5.3699999999999992</v>
      </c>
      <c r="N432" t="str">
        <f t="shared" si="19"/>
        <v>Robusta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_xlfn.XLOOKUP(orders!C433,customers!$A$1:$A$1001,customers!$B$1:$B$1001,,0)</f>
        <v>Witty Ranson</v>
      </c>
      <c r="G433" s="2" t="str">
        <f>IF(_xlfn.XLOOKUP(orders!C433,customers!$A$1:$A$1001,customers!$C$1:$C$1001,,0)=0,"",_xlfn.XLOOKUP(orders!C433,customers!$A$1:$A$1001,customers!$C$1:$C$1001,,0))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6">
        <f t="shared" si="18"/>
        <v>83.835000000000008</v>
      </c>
      <c r="N433" t="str">
        <f t="shared" si="19"/>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_xlfn.XLOOKUP(orders!C434,customers!$A$1:$A$1001,customers!$B$1:$B$1001,,0)</f>
        <v>Rod Gowdie</v>
      </c>
      <c r="G434" s="2" t="str">
        <f>IF(_xlfn.XLOOKUP(orders!C434,customers!$A$1:$A$1001,customers!$C$1:$C$1001,,0)=0,"",_xlfn.XLOOKUP(orders!C434,customers!$A$1:$A$1001,customers!$C$1:$C$1001,,0))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6">
        <f t="shared" si="18"/>
        <v>22.5</v>
      </c>
      <c r="N434" t="str">
        <f t="shared" si="19"/>
        <v>Arabica</v>
      </c>
      <c r="O434"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f>_xlfn.XLOOKUP(orders!C435,customers!$A$1:$A$1001,customers!$B$1:$B$1001,,0)</f>
        <v>Lemuel Rignold</v>
      </c>
      <c r="G435" s="2" t="str">
        <f>IF(_xlfn.XLOOKUP(orders!C435,customers!$A$1:$A$1001,customers!$C$1:$C$1001,,0)=0,"",_xlfn.XLOOKUP(orders!C435,customers!$A$1:$A$1001,customers!$C$1:$C$1001,,0))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6">
        <f t="shared" si="18"/>
        <v>200.78999999999996</v>
      </c>
      <c r="N435" t="str">
        <f t="shared" si="19"/>
        <v>Liberica</v>
      </c>
      <c r="O435"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f>_xlfn.XLOOKUP(orders!C436,customers!$A$1:$A$1001,customers!$B$1:$B$1001,,0)</f>
        <v>Nevsa Fields</v>
      </c>
      <c r="G436" s="2" t="str">
        <f>IF(_xlfn.XLOOKUP(orders!C436,customers!$A$1:$A$1001,customers!$C$1:$C$1001,,0)=0,"",_xlfn.XLOOKUP(orders!C436,customers!$A$1:$A$1001,customers!$C$1:$C$1001,,0))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6">
        <f t="shared" si="18"/>
        <v>67.5</v>
      </c>
      <c r="N436" t="str">
        <f t="shared" si="19"/>
        <v>Arabica</v>
      </c>
      <c r="O436"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f>_xlfn.XLOOKUP(orders!C437,customers!$A$1:$A$1001,customers!$B$1:$B$1001,,0)</f>
        <v>Chance Rowthorn</v>
      </c>
      <c r="G437" s="2" t="str">
        <f>IF(_xlfn.XLOOKUP(orders!C437,customers!$A$1:$A$1001,customers!$C$1:$C$1001,,0)=0,"",_xlfn.XLOOKUP(orders!C437,customers!$A$1:$A$1001,customers!$C$1:$C$1001,,0))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6">
        <f t="shared" si="18"/>
        <v>8.25</v>
      </c>
      <c r="N437" t="str">
        <f t="shared" si="19"/>
        <v>Excelsa</v>
      </c>
      <c r="O437"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f>_xlfn.XLOOKUP(orders!C438,customers!$A$1:$A$1001,customers!$B$1:$B$1001,,0)</f>
        <v>Orly Ryland</v>
      </c>
      <c r="G438" s="2" t="str">
        <f>IF(_xlfn.XLOOKUP(orders!C438,customers!$A$1:$A$1001,customers!$C$1:$C$1001,,0)=0,"",_xlfn.XLOOKUP(orders!C438,customers!$A$1:$A$1001,customers!$C$1:$C$1001,,0))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6">
        <f t="shared" si="18"/>
        <v>9.51</v>
      </c>
      <c r="N438" t="str">
        <f t="shared" si="19"/>
        <v>Liberica</v>
      </c>
      <c r="O438"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f>_xlfn.XLOOKUP(orders!C439,customers!$A$1:$A$1001,customers!$B$1:$B$1001,,0)</f>
        <v>Willabella Abramski</v>
      </c>
      <c r="G439" s="2" t="str">
        <f>IF(_xlfn.XLOOKUP(orders!C439,customers!$A$1:$A$1001,customers!$C$1:$C$1001,,0)=0,"",_xlfn.XLOOKUP(orders!C439,customers!$A$1:$A$1001,customers!$C$1:$C$1001,,0))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6">
        <f t="shared" si="18"/>
        <v>29.784999999999997</v>
      </c>
      <c r="N439" t="str">
        <f t="shared" si="19"/>
        <v>Liberica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_xlfn.XLOOKUP(orders!C440,customers!$A$1:$A$1001,customers!$B$1:$B$1001,,0)</f>
        <v>Morgen Seson</v>
      </c>
      <c r="G440" s="2" t="str">
        <f>IF(_xlfn.XLOOKUP(orders!C440,customers!$A$1:$A$1001,customers!$C$1:$C$1001,,0)=0,"",_xlfn.XLOOKUP(orders!C440,customers!$A$1:$A$1001,customers!$C$1:$C$1001,,0))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6">
        <f t="shared" si="18"/>
        <v>15.54</v>
      </c>
      <c r="N440" t="str">
        <f t="shared" si="19"/>
        <v>Liberica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_xlfn.XLOOKUP(orders!C441,customers!$A$1:$A$1001,customers!$B$1:$B$1001,,0)</f>
        <v>Chickie Ragless</v>
      </c>
      <c r="G441" s="2" t="str">
        <f>IF(_xlfn.XLOOKUP(orders!C441,customers!$A$1:$A$1001,customers!$C$1:$C$1001,,0)=0,"",_xlfn.XLOOKUP(orders!C441,customers!$A$1:$A$1001,customers!$C$1:$C$1001,,0))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6">
        <f t="shared" si="18"/>
        <v>35.64</v>
      </c>
      <c r="N441" t="str">
        <f t="shared" si="19"/>
        <v>Excelsa</v>
      </c>
      <c r="O441"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f>_xlfn.XLOOKUP(orders!C442,customers!$A$1:$A$1001,customers!$B$1:$B$1001,,0)</f>
        <v>Freda Hollows</v>
      </c>
      <c r="G442" s="2" t="str">
        <f>IF(_xlfn.XLOOKUP(orders!C442,customers!$A$1:$A$1001,customers!$C$1:$C$1001,,0)=0,"",_xlfn.XLOOKUP(orders!C442,customers!$A$1:$A$1001,customers!$C$1:$C$1001,,0))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6">
        <f t="shared" si="18"/>
        <v>103.49999999999999</v>
      </c>
      <c r="N442" t="str">
        <f t="shared" si="19"/>
        <v>Arabica</v>
      </c>
      <c r="O44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f>_xlfn.XLOOKUP(orders!C443,customers!$A$1:$A$1001,customers!$B$1:$B$1001,,0)</f>
        <v>Livy Lathleiff</v>
      </c>
      <c r="G443" s="2" t="str">
        <f>IF(_xlfn.XLOOKUP(orders!C443,customers!$A$1:$A$1001,customers!$C$1:$C$1001,,0)=0,"",_xlfn.XLOOKUP(orders!C443,customers!$A$1:$A$1001,customers!$C$1:$C$1001,,0))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6">
        <f t="shared" si="18"/>
        <v>36.450000000000003</v>
      </c>
      <c r="N443" t="str">
        <f t="shared" si="19"/>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_xlfn.XLOOKUP(orders!C444,customers!$A$1:$A$1001,customers!$B$1:$B$1001,,0)</f>
        <v>Koralle Heads</v>
      </c>
      <c r="G444" s="2" t="str">
        <f>IF(_xlfn.XLOOKUP(orders!C444,customers!$A$1:$A$1001,customers!$C$1:$C$1001,,0)=0,"",_xlfn.XLOOKUP(orders!C444,customers!$A$1:$A$1001,customers!$C$1:$C$1001,,0))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6">
        <f t="shared" si="18"/>
        <v>35.849999999999994</v>
      </c>
      <c r="N444" t="str">
        <f t="shared" si="19"/>
        <v>Robusta</v>
      </c>
      <c r="O444"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f>_xlfn.XLOOKUP(orders!C445,customers!$A$1:$A$1001,customers!$B$1:$B$1001,,0)</f>
        <v>Theo Bowne</v>
      </c>
      <c r="G445" s="2" t="str">
        <f>IF(_xlfn.XLOOKUP(orders!C445,customers!$A$1:$A$1001,customers!$C$1:$C$1001,,0)=0,"",_xlfn.XLOOKUP(orders!C445,customers!$A$1:$A$1001,customers!$C$1:$C$1001,,0))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6">
        <f t="shared" si="18"/>
        <v>22.274999999999999</v>
      </c>
      <c r="N445" t="str">
        <f t="shared" si="19"/>
        <v>Excelsa</v>
      </c>
      <c r="O445"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f>_xlfn.XLOOKUP(orders!C446,customers!$A$1:$A$1001,customers!$B$1:$B$1001,,0)</f>
        <v>Rasia Jacquemard</v>
      </c>
      <c r="G446" s="2" t="str">
        <f>IF(_xlfn.XLOOKUP(orders!C446,customers!$A$1:$A$1001,customers!$C$1:$C$1001,,0)=0,"",_xlfn.XLOOKUP(orders!C446,customers!$A$1:$A$1001,customers!$C$1:$C$1001,,0))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6">
        <f t="shared" si="18"/>
        <v>24.75</v>
      </c>
      <c r="N446" t="str">
        <f t="shared" si="19"/>
        <v>Excelsa</v>
      </c>
      <c r="O446"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f>_xlfn.XLOOKUP(orders!C447,customers!$A$1:$A$1001,customers!$B$1:$B$1001,,0)</f>
        <v>Kizzie Warman</v>
      </c>
      <c r="G447" s="2" t="str">
        <f>IF(_xlfn.XLOOKUP(orders!C447,customers!$A$1:$A$1001,customers!$C$1:$C$1001,,0)=0,"",_xlfn.XLOOKUP(orders!C447,customers!$A$1:$A$1001,customers!$C$1:$C$1001,,0))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6">
        <f t="shared" si="18"/>
        <v>66.929999999999993</v>
      </c>
      <c r="N447" t="str">
        <f t="shared" si="19"/>
        <v>Liberica</v>
      </c>
      <c r="O447"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f>_xlfn.XLOOKUP(orders!C448,customers!$A$1:$A$1001,customers!$B$1:$B$1001,,0)</f>
        <v>Wain Cholomin</v>
      </c>
      <c r="G448" s="2" t="str">
        <f>IF(_xlfn.XLOOKUP(orders!C448,customers!$A$1:$A$1001,customers!$C$1:$C$1001,,0)=0,"",_xlfn.XLOOKUP(orders!C448,customers!$A$1:$A$1001,customers!$C$1:$C$1001,,0))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6">
        <f t="shared" si="18"/>
        <v>8.73</v>
      </c>
      <c r="N448" t="str">
        <f t="shared" si="19"/>
        <v>Liberica</v>
      </c>
      <c r="O448"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f>_xlfn.XLOOKUP(orders!C449,customers!$A$1:$A$1001,customers!$B$1:$B$1001,,0)</f>
        <v>Arleen Braidman</v>
      </c>
      <c r="G449" s="2" t="str">
        <f>IF(_xlfn.XLOOKUP(orders!C449,customers!$A$1:$A$1001,customers!$C$1:$C$1001,,0)=0,"",_xlfn.XLOOKUP(orders!C449,customers!$A$1:$A$1001,customers!$C$1:$C$1001,,0))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6">
        <f t="shared" si="18"/>
        <v>17.91</v>
      </c>
      <c r="N449" t="str">
        <f t="shared" si="19"/>
        <v>Robusta</v>
      </c>
      <c r="O449"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f>_xlfn.XLOOKUP(orders!C450,customers!$A$1:$A$1001,customers!$B$1:$B$1001,,0)</f>
        <v>Pru Durban</v>
      </c>
      <c r="G450" s="2" t="str">
        <f>IF(_xlfn.XLOOKUP(orders!C450,customers!$A$1:$A$1001,customers!$C$1:$C$1001,,0)=0,"",_xlfn.XLOOKUP(orders!C450,customers!$A$1:$A$1001,customers!$C$1:$C$1001,,0))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6">
        <f t="shared" si="18"/>
        <v>7.169999999999999</v>
      </c>
      <c r="N450" t="str">
        <f t="shared" si="19"/>
        <v>Robusta</v>
      </c>
      <c r="O450"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f>_xlfn.XLOOKUP(orders!C451,customers!$A$1:$A$1001,customers!$B$1:$B$1001,,0)</f>
        <v>Antone Harrold</v>
      </c>
      <c r="G451" s="2" t="str">
        <f>IF(_xlfn.XLOOKUP(orders!C451,customers!$A$1:$A$1001,customers!$C$1:$C$1001,,0)=0,"",_xlfn.XLOOKUP(orders!C451,customers!$A$1:$A$1001,customers!$C$1:$C$1001,,0))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6">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_xlfn.XLOOKUP(orders!C452,customers!$A$1:$A$1001,customers!$B$1:$B$1001,,0)</f>
        <v>Sim Pamphilon</v>
      </c>
      <c r="G452" s="2" t="str">
        <f>IF(_xlfn.XLOOKUP(orders!C452,customers!$A$1:$A$1001,customers!$C$1:$C$1001,,0)=0,"",_xlfn.XLOOKUP(orders!C452,customers!$A$1:$A$1001,customers!$C$1:$C$1001,,0))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6">
        <f t="shared" si="21"/>
        <v>23.774999999999999</v>
      </c>
      <c r="N452" t="str">
        <f t="shared" si="22"/>
        <v>Liberica</v>
      </c>
      <c r="O45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f>_xlfn.XLOOKUP(orders!C453,customers!$A$1:$A$1001,customers!$B$1:$B$1001,,0)</f>
        <v>Mohandis Spurden</v>
      </c>
      <c r="G453" s="2" t="str">
        <f>IF(_xlfn.XLOOKUP(orders!C453,customers!$A$1:$A$1001,customers!$C$1:$C$1001,,0)=0,"",_xlfn.XLOOKUP(orders!C453,customers!$A$1:$A$1001,customers!$C$1:$C$1001,,0))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6">
        <f t="shared" si="21"/>
        <v>41.169999999999995</v>
      </c>
      <c r="N453" t="str">
        <f t="shared" si="22"/>
        <v>Robusta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_xlfn.XLOOKUP(orders!C454,customers!$A$1:$A$1001,customers!$B$1:$B$1001,,0)</f>
        <v>Morgen Seson</v>
      </c>
      <c r="G454" s="2" t="str">
        <f>IF(_xlfn.XLOOKUP(orders!C454,customers!$A$1:$A$1001,customers!$C$1:$C$1001,,0)=0,"",_xlfn.XLOOKUP(orders!C454,customers!$A$1:$A$1001,customers!$C$1:$C$1001,,0))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6">
        <f t="shared" si="21"/>
        <v>11.654999999999999</v>
      </c>
      <c r="N454" t="str">
        <f t="shared" si="22"/>
        <v>Arabica</v>
      </c>
      <c r="O454"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f>_xlfn.XLOOKUP(orders!C455,customers!$A$1:$A$1001,customers!$B$1:$B$1001,,0)</f>
        <v>Nalani Pirrone</v>
      </c>
      <c r="G455" s="2" t="str">
        <f>IF(_xlfn.XLOOKUP(orders!C455,customers!$A$1:$A$1001,customers!$C$1:$C$1001,,0)=0,"",_xlfn.XLOOKUP(orders!C455,customers!$A$1:$A$1001,customers!$C$1:$C$1001,,0))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6">
        <f t="shared" si="21"/>
        <v>38.04</v>
      </c>
      <c r="N455" t="str">
        <f t="shared" si="22"/>
        <v>Liberica</v>
      </c>
      <c r="O455"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f>_xlfn.XLOOKUP(orders!C456,customers!$A$1:$A$1001,customers!$B$1:$B$1001,,0)</f>
        <v>Reube Cawley</v>
      </c>
      <c r="G456" s="2" t="str">
        <f>IF(_xlfn.XLOOKUP(orders!C456,customers!$A$1:$A$1001,customers!$C$1:$C$1001,,0)=0,"",_xlfn.XLOOKUP(orders!C456,customers!$A$1:$A$1001,customers!$C$1:$C$1001,,0))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6">
        <f t="shared" si="21"/>
        <v>82.339999999999989</v>
      </c>
      <c r="N456" t="str">
        <f t="shared" si="22"/>
        <v>Robusta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_xlfn.XLOOKUP(orders!C457,customers!$A$1:$A$1001,customers!$B$1:$B$1001,,0)</f>
        <v>Stan Barribal</v>
      </c>
      <c r="G457" s="2" t="str">
        <f>IF(_xlfn.XLOOKUP(orders!C457,customers!$A$1:$A$1001,customers!$C$1:$C$1001,,0)=0,"",_xlfn.XLOOKUP(orders!C457,customers!$A$1:$A$1001,customers!$C$1:$C$1001,,0))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6">
        <f t="shared" si="21"/>
        <v>9.51</v>
      </c>
      <c r="N457" t="str">
        <f t="shared" si="22"/>
        <v>Liberica</v>
      </c>
      <c r="O457"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f>_xlfn.XLOOKUP(orders!C458,customers!$A$1:$A$1001,customers!$B$1:$B$1001,,0)</f>
        <v>Agnes Adamides</v>
      </c>
      <c r="G458" s="2" t="str">
        <f>IF(_xlfn.XLOOKUP(orders!C458,customers!$A$1:$A$1001,customers!$C$1:$C$1001,,0)=0,"",_xlfn.XLOOKUP(orders!C458,customers!$A$1:$A$1001,customers!$C$1:$C$1001,,0))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6">
        <f t="shared" si="21"/>
        <v>41.169999999999995</v>
      </c>
      <c r="N458" t="str">
        <f t="shared" si="22"/>
        <v>Robusta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_xlfn.XLOOKUP(orders!C459,customers!$A$1:$A$1001,customers!$B$1:$B$1001,,0)</f>
        <v>Carmelita Thowes</v>
      </c>
      <c r="G459" s="2" t="str">
        <f>IF(_xlfn.XLOOKUP(orders!C459,customers!$A$1:$A$1001,customers!$C$1:$C$1001,,0)=0,"",_xlfn.XLOOKUP(orders!C459,customers!$A$1:$A$1001,customers!$C$1:$C$1001,,0))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6">
        <f t="shared" si="21"/>
        <v>47.55</v>
      </c>
      <c r="N459" t="str">
        <f t="shared" si="22"/>
        <v>Liberica</v>
      </c>
      <c r="O459"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f>_xlfn.XLOOKUP(orders!C460,customers!$A$1:$A$1001,customers!$B$1:$B$1001,,0)</f>
        <v>Rodolfo Willoway</v>
      </c>
      <c r="G460" s="2" t="str">
        <f>IF(_xlfn.XLOOKUP(orders!C460,customers!$A$1:$A$1001,customers!$C$1:$C$1001,,0)=0,"",_xlfn.XLOOKUP(orders!C460,customers!$A$1:$A$1001,customers!$C$1:$C$1001,,0))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6">
        <f t="shared" si="21"/>
        <v>45</v>
      </c>
      <c r="N460" t="str">
        <f t="shared" si="22"/>
        <v>Arabica</v>
      </c>
      <c r="O460"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f>_xlfn.XLOOKUP(orders!C461,customers!$A$1:$A$1001,customers!$B$1:$B$1001,,0)</f>
        <v>Alvis Elwin</v>
      </c>
      <c r="G461" s="2" t="str">
        <f>IF(_xlfn.XLOOKUP(orders!C461,customers!$A$1:$A$1001,customers!$C$1:$C$1001,,0)=0,"",_xlfn.XLOOKUP(orders!C461,customers!$A$1:$A$1001,customers!$C$1:$C$1001,,0))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6">
        <f t="shared" si="21"/>
        <v>23.774999999999999</v>
      </c>
      <c r="N461" t="str">
        <f t="shared" si="22"/>
        <v>Liberica</v>
      </c>
      <c r="O461"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f>_xlfn.XLOOKUP(orders!C462,customers!$A$1:$A$1001,customers!$B$1:$B$1001,,0)</f>
        <v>Araldo Bilbrook</v>
      </c>
      <c r="G462" s="2" t="str">
        <f>IF(_xlfn.XLOOKUP(orders!C462,customers!$A$1:$A$1001,customers!$C$1:$C$1001,,0)=0,"",_xlfn.XLOOKUP(orders!C462,customers!$A$1:$A$1001,customers!$C$1:$C$1001,,0))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6">
        <f t="shared" si="21"/>
        <v>16.11</v>
      </c>
      <c r="N462" t="str">
        <f t="shared" si="22"/>
        <v>Robusta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_xlfn.XLOOKUP(orders!C463,customers!$A$1:$A$1001,customers!$B$1:$B$1001,,0)</f>
        <v>Ransell McKall</v>
      </c>
      <c r="G463" s="2" t="str">
        <f>IF(_xlfn.XLOOKUP(orders!C463,customers!$A$1:$A$1001,customers!$C$1:$C$1001,,0)=0,"",_xlfn.XLOOKUP(orders!C463,customers!$A$1:$A$1001,customers!$C$1:$C$1001,,0))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6">
        <f t="shared" si="21"/>
        <v>10.739999999999998</v>
      </c>
      <c r="N463" t="str">
        <f t="shared" si="22"/>
        <v>Robusta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_xlfn.XLOOKUP(orders!C464,customers!$A$1:$A$1001,customers!$B$1:$B$1001,,0)</f>
        <v>Borg Daile</v>
      </c>
      <c r="G464" s="2" t="str">
        <f>IF(_xlfn.XLOOKUP(orders!C464,customers!$A$1:$A$1001,customers!$C$1:$C$1001,,0)=0,"",_xlfn.XLOOKUP(orders!C464,customers!$A$1:$A$1001,customers!$C$1:$C$1001,,0))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6">
        <f t="shared" si="21"/>
        <v>49.75</v>
      </c>
      <c r="N464" t="str">
        <f t="shared" si="22"/>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_xlfn.XLOOKUP(orders!C465,customers!$A$1:$A$1001,customers!$B$1:$B$1001,,0)</f>
        <v>Adolphe Treherne</v>
      </c>
      <c r="G465" s="2" t="str">
        <f>IF(_xlfn.XLOOKUP(orders!C465,customers!$A$1:$A$1001,customers!$C$1:$C$1001,,0)=0,"",_xlfn.XLOOKUP(orders!C465,customers!$A$1:$A$1001,customers!$C$1:$C$1001,,0))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6">
        <f t="shared" si="21"/>
        <v>27.5</v>
      </c>
      <c r="N465" t="str">
        <f t="shared" si="22"/>
        <v>Excelsa</v>
      </c>
      <c r="O465"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f>_xlfn.XLOOKUP(orders!C466,customers!$A$1:$A$1001,customers!$B$1:$B$1001,,0)</f>
        <v>Annetta Brentnall</v>
      </c>
      <c r="G466" s="2" t="str">
        <f>IF(_xlfn.XLOOKUP(orders!C466,customers!$A$1:$A$1001,customers!$C$1:$C$1001,,0)=0,"",_xlfn.XLOOKUP(orders!C466,customers!$A$1:$A$1001,customers!$C$1:$C$1001,,0))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6">
        <f t="shared" si="21"/>
        <v>119.13999999999999</v>
      </c>
      <c r="N466" t="str">
        <f t="shared" si="22"/>
        <v>Liberica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_xlfn.XLOOKUP(orders!C467,customers!$A$1:$A$1001,customers!$B$1:$B$1001,,0)</f>
        <v>Dick Drinkall</v>
      </c>
      <c r="G467" s="2" t="str">
        <f>IF(_xlfn.XLOOKUP(orders!C467,customers!$A$1:$A$1001,customers!$C$1:$C$1001,,0)=0,"",_xlfn.XLOOKUP(orders!C467,customers!$A$1:$A$1001,customers!$C$1:$C$1001,,0))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6">
        <f t="shared" si="21"/>
        <v>20.584999999999997</v>
      </c>
      <c r="N467" t="str">
        <f t="shared" si="22"/>
        <v>Robusta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_xlfn.XLOOKUP(orders!C468,customers!$A$1:$A$1001,customers!$B$1:$B$1001,,0)</f>
        <v>Dagny Kornel</v>
      </c>
      <c r="G468" s="2" t="str">
        <f>IF(_xlfn.XLOOKUP(orders!C468,customers!$A$1:$A$1001,customers!$C$1:$C$1001,,0)=0,"",_xlfn.XLOOKUP(orders!C468,customers!$A$1:$A$1001,customers!$C$1:$C$1001,,0))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6">
        <f t="shared" si="21"/>
        <v>8.9550000000000001</v>
      </c>
      <c r="N468" t="str">
        <f t="shared" si="22"/>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_xlfn.XLOOKUP(orders!C469,customers!$A$1:$A$1001,customers!$B$1:$B$1001,,0)</f>
        <v>Rhona Lequeux</v>
      </c>
      <c r="G469" s="2" t="str">
        <f>IF(_xlfn.XLOOKUP(orders!C469,customers!$A$1:$A$1001,customers!$C$1:$C$1001,,0)=0,"",_xlfn.XLOOKUP(orders!C469,customers!$A$1:$A$1001,customers!$C$1:$C$1001,,0))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6">
        <f t="shared" si="21"/>
        <v>5.97</v>
      </c>
      <c r="N469" t="str">
        <f t="shared" si="22"/>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_xlfn.XLOOKUP(orders!C470,customers!$A$1:$A$1001,customers!$B$1:$B$1001,,0)</f>
        <v>Julius Mccaull</v>
      </c>
      <c r="G470" s="2" t="str">
        <f>IF(_xlfn.XLOOKUP(orders!C470,customers!$A$1:$A$1001,customers!$C$1:$C$1001,,0)=0,"",_xlfn.XLOOKUP(orders!C470,customers!$A$1:$A$1001,customers!$C$1:$C$1001,,0))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6">
        <f t="shared" si="21"/>
        <v>41.25</v>
      </c>
      <c r="N470" t="str">
        <f t="shared" si="22"/>
        <v>Excelsa</v>
      </c>
      <c r="O470"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f>_xlfn.XLOOKUP(orders!C471,customers!$A$1:$A$1001,customers!$B$1:$B$1001,,0)</f>
        <v>Ailey Brash</v>
      </c>
      <c r="G471" s="2" t="str">
        <f>IF(_xlfn.XLOOKUP(orders!C471,customers!$A$1:$A$1001,customers!$C$1:$C$1001,,0)=0,"",_xlfn.XLOOKUP(orders!C471,customers!$A$1:$A$1001,customers!$C$1:$C$1001,,0))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6">
        <f t="shared" si="21"/>
        <v>22.274999999999999</v>
      </c>
      <c r="N471" t="str">
        <f t="shared" si="22"/>
        <v>Excelsa</v>
      </c>
      <c r="O471"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f>_xlfn.XLOOKUP(orders!C472,customers!$A$1:$A$1001,customers!$B$1:$B$1001,,0)</f>
        <v>Alberto Hutchinson</v>
      </c>
      <c r="G472" s="2" t="str">
        <f>IF(_xlfn.XLOOKUP(orders!C472,customers!$A$1:$A$1001,customers!$C$1:$C$1001,,0)=0,"",_xlfn.XLOOKUP(orders!C472,customers!$A$1:$A$1001,customers!$C$1:$C$1001,,0))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6">
        <f t="shared" si="21"/>
        <v>6.75</v>
      </c>
      <c r="N472" t="str">
        <f t="shared" si="22"/>
        <v>Arabica</v>
      </c>
      <c r="O47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f>_xlfn.XLOOKUP(orders!C473,customers!$A$1:$A$1001,customers!$B$1:$B$1001,,0)</f>
        <v>Lamond Gheeraert</v>
      </c>
      <c r="G473" s="2" t="str">
        <f>IF(_xlfn.XLOOKUP(orders!C473,customers!$A$1:$A$1001,customers!$C$1:$C$1001,,0)=0,"",_xlfn.XLOOKUP(orders!C473,customers!$A$1:$A$1001,customers!$C$1:$C$1001,,0))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6">
        <f t="shared" si="21"/>
        <v>133.85999999999999</v>
      </c>
      <c r="N473" t="str">
        <f t="shared" si="22"/>
        <v>Liberica</v>
      </c>
      <c r="O473"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f>_xlfn.XLOOKUP(orders!C474,customers!$A$1:$A$1001,customers!$B$1:$B$1001,,0)</f>
        <v>Roxine Drivers</v>
      </c>
      <c r="G474" s="2" t="str">
        <f>IF(_xlfn.XLOOKUP(orders!C474,customers!$A$1:$A$1001,customers!$C$1:$C$1001,,0)=0,"",_xlfn.XLOOKUP(orders!C474,customers!$A$1:$A$1001,customers!$C$1:$C$1001,,0))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6">
        <f t="shared" si="21"/>
        <v>5.97</v>
      </c>
      <c r="N474" t="str">
        <f t="shared" si="22"/>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_xlfn.XLOOKUP(orders!C475,customers!$A$1:$A$1001,customers!$B$1:$B$1001,,0)</f>
        <v>Heloise Zeal</v>
      </c>
      <c r="G475" s="2" t="str">
        <f>IF(_xlfn.XLOOKUP(orders!C475,customers!$A$1:$A$1001,customers!$C$1:$C$1001,,0)=0,"",_xlfn.XLOOKUP(orders!C475,customers!$A$1:$A$1001,customers!$C$1:$C$1001,,0))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6">
        <f t="shared" si="21"/>
        <v>25.9</v>
      </c>
      <c r="N475" t="str">
        <f t="shared" si="22"/>
        <v>Arabica</v>
      </c>
      <c r="O475"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f>_xlfn.XLOOKUP(orders!C476,customers!$A$1:$A$1001,customers!$B$1:$B$1001,,0)</f>
        <v>Granger Smallcombe</v>
      </c>
      <c r="G476" s="2" t="str">
        <f>IF(_xlfn.XLOOKUP(orders!C476,customers!$A$1:$A$1001,customers!$C$1:$C$1001,,0)=0,"",_xlfn.XLOOKUP(orders!C476,customers!$A$1:$A$1001,customers!$C$1:$C$1001,,0))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6">
        <f t="shared" si="21"/>
        <v>31.624999999999996</v>
      </c>
      <c r="N476" t="str">
        <f t="shared" si="22"/>
        <v>Excelsa</v>
      </c>
      <c r="O476"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f>_xlfn.XLOOKUP(orders!C477,customers!$A$1:$A$1001,customers!$B$1:$B$1001,,0)</f>
        <v>Daryn Dibley</v>
      </c>
      <c r="G477" s="2" t="str">
        <f>IF(_xlfn.XLOOKUP(orders!C477,customers!$A$1:$A$1001,customers!$C$1:$C$1001,,0)=0,"",_xlfn.XLOOKUP(orders!C477,customers!$A$1:$A$1001,customers!$C$1:$C$1001,,0))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6">
        <f t="shared" si="21"/>
        <v>8.73</v>
      </c>
      <c r="N477" t="str">
        <f t="shared" si="22"/>
        <v>Liberica</v>
      </c>
      <c r="O477"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f>_xlfn.XLOOKUP(orders!C478,customers!$A$1:$A$1001,customers!$B$1:$B$1001,,0)</f>
        <v>Gardy Dimitriou</v>
      </c>
      <c r="G478" s="2" t="str">
        <f>IF(_xlfn.XLOOKUP(orders!C478,customers!$A$1:$A$1001,customers!$C$1:$C$1001,,0)=0,"",_xlfn.XLOOKUP(orders!C478,customers!$A$1:$A$1001,customers!$C$1:$C$1001,,0))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6">
        <f t="shared" si="21"/>
        <v>26.73</v>
      </c>
      <c r="N478" t="str">
        <f t="shared" si="22"/>
        <v>Excelsa</v>
      </c>
      <c r="O478"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f>_xlfn.XLOOKUP(orders!C479,customers!$A$1:$A$1001,customers!$B$1:$B$1001,,0)</f>
        <v>Fanny Flanagan</v>
      </c>
      <c r="G479" s="2" t="str">
        <f>IF(_xlfn.XLOOKUP(orders!C479,customers!$A$1:$A$1001,customers!$C$1:$C$1001,,0)=0,"",_xlfn.XLOOKUP(orders!C479,customers!$A$1:$A$1001,customers!$C$1:$C$1001,,0))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6">
        <f t="shared" si="21"/>
        <v>26.19</v>
      </c>
      <c r="N479" t="str">
        <f t="shared" si="22"/>
        <v>Liberica</v>
      </c>
      <c r="O479"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f>_xlfn.XLOOKUP(orders!C480,customers!$A$1:$A$1001,customers!$B$1:$B$1001,,0)</f>
        <v>Ailey Brash</v>
      </c>
      <c r="G480" s="2" t="str">
        <f>IF(_xlfn.XLOOKUP(orders!C480,customers!$A$1:$A$1001,customers!$C$1:$C$1001,,0)=0,"",_xlfn.XLOOKUP(orders!C480,customers!$A$1:$A$1001,customers!$C$1:$C$1001,,0))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6">
        <f t="shared" si="21"/>
        <v>53.699999999999996</v>
      </c>
      <c r="N480" t="str">
        <f t="shared" si="22"/>
        <v>Robusta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_xlfn.XLOOKUP(orders!C481,customers!$A$1:$A$1001,customers!$B$1:$B$1001,,0)</f>
        <v>Ailey Brash</v>
      </c>
      <c r="G481" s="2" t="str">
        <f>IF(_xlfn.XLOOKUP(orders!C481,customers!$A$1:$A$1001,customers!$C$1:$C$1001,,0)=0,"",_xlfn.XLOOKUP(orders!C481,customers!$A$1:$A$1001,customers!$C$1:$C$1001,,0))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6">
        <f t="shared" si="21"/>
        <v>126.49999999999999</v>
      </c>
      <c r="N481" t="str">
        <f t="shared" si="22"/>
        <v>Excelsa</v>
      </c>
      <c r="O481"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f>_xlfn.XLOOKUP(orders!C482,customers!$A$1:$A$1001,customers!$B$1:$B$1001,,0)</f>
        <v>Ailey Brash</v>
      </c>
      <c r="G482" s="2" t="str">
        <f>IF(_xlfn.XLOOKUP(orders!C482,customers!$A$1:$A$1001,customers!$C$1:$C$1001,,0)=0,"",_xlfn.XLOOKUP(orders!C482,customers!$A$1:$A$1001,customers!$C$1:$C$1001,,0))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6">
        <f t="shared" si="21"/>
        <v>4.125</v>
      </c>
      <c r="N482" t="str">
        <f t="shared" si="22"/>
        <v>Excelsa</v>
      </c>
      <c r="O48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f>_xlfn.XLOOKUP(orders!C483,customers!$A$1:$A$1001,customers!$B$1:$B$1001,,0)</f>
        <v>Nanny Izhakov</v>
      </c>
      <c r="G483" s="2" t="str">
        <f>IF(_xlfn.XLOOKUP(orders!C483,customers!$A$1:$A$1001,customers!$C$1:$C$1001,,0)=0,"",_xlfn.XLOOKUP(orders!C483,customers!$A$1:$A$1001,customers!$C$1:$C$1001,,0))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6">
        <f t="shared" si="21"/>
        <v>23.9</v>
      </c>
      <c r="N483" t="str">
        <f t="shared" si="22"/>
        <v>Robusta</v>
      </c>
      <c r="O483"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f>_xlfn.XLOOKUP(orders!C484,customers!$A$1:$A$1001,customers!$B$1:$B$1001,,0)</f>
        <v>Stanly Keets</v>
      </c>
      <c r="G484" s="2" t="str">
        <f>IF(_xlfn.XLOOKUP(orders!C484,customers!$A$1:$A$1001,customers!$C$1:$C$1001,,0)=0,"",_xlfn.XLOOKUP(orders!C484,customers!$A$1:$A$1001,customers!$C$1:$C$1001,,0))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6">
        <f t="shared" si="21"/>
        <v>139.72499999999999</v>
      </c>
      <c r="N484" t="str">
        <f t="shared" si="22"/>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_xlfn.XLOOKUP(orders!C485,customers!$A$1:$A$1001,customers!$B$1:$B$1001,,0)</f>
        <v>Orion Dyott</v>
      </c>
      <c r="G485" s="2" t="str">
        <f>IF(_xlfn.XLOOKUP(orders!C485,customers!$A$1:$A$1001,customers!$C$1:$C$1001,,0)=0,"",_xlfn.XLOOKUP(orders!C485,customers!$A$1:$A$1001,customers!$C$1:$C$1001,,0))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6">
        <f t="shared" si="21"/>
        <v>59.569999999999993</v>
      </c>
      <c r="N485" t="str">
        <f t="shared" si="22"/>
        <v>Liberica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_xlfn.XLOOKUP(orders!C486,customers!$A$1:$A$1001,customers!$B$1:$B$1001,,0)</f>
        <v>Keefer Cake</v>
      </c>
      <c r="G486" s="2" t="str">
        <f>IF(_xlfn.XLOOKUP(orders!C486,customers!$A$1:$A$1001,customers!$C$1:$C$1001,,0)=0,"",_xlfn.XLOOKUP(orders!C486,customers!$A$1:$A$1001,customers!$C$1:$C$1001,,0))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6">
        <f t="shared" si="21"/>
        <v>57.06</v>
      </c>
      <c r="N486" t="str">
        <f t="shared" si="22"/>
        <v>Liberica</v>
      </c>
      <c r="O486"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f>_xlfn.XLOOKUP(orders!C487,customers!$A$1:$A$1001,customers!$B$1:$B$1001,,0)</f>
        <v>Morna Hansed</v>
      </c>
      <c r="G487" s="2" t="str">
        <f>IF(_xlfn.XLOOKUP(orders!C487,customers!$A$1:$A$1001,customers!$C$1:$C$1001,,0)=0,"",_xlfn.XLOOKUP(orders!C487,customers!$A$1:$A$1001,customers!$C$1:$C$1001,,0))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6">
        <f t="shared" si="21"/>
        <v>21.509999999999998</v>
      </c>
      <c r="N487" t="str">
        <f t="shared" si="22"/>
        <v>Robusta</v>
      </c>
      <c r="O487"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f>_xlfn.XLOOKUP(orders!C488,customers!$A$1:$A$1001,customers!$B$1:$B$1001,,0)</f>
        <v>Franny Kienlein</v>
      </c>
      <c r="G488" s="2" t="str">
        <f>IF(_xlfn.XLOOKUP(orders!C488,customers!$A$1:$A$1001,customers!$C$1:$C$1001,,0)=0,"",_xlfn.XLOOKUP(orders!C488,customers!$A$1:$A$1001,customers!$C$1:$C$1001,,0))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6">
        <f t="shared" si="21"/>
        <v>52.38</v>
      </c>
      <c r="N488" t="str">
        <f t="shared" si="22"/>
        <v>Liberica</v>
      </c>
      <c r="O488"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f>_xlfn.XLOOKUP(orders!C489,customers!$A$1:$A$1001,customers!$B$1:$B$1001,,0)</f>
        <v>Klarika Egglestone</v>
      </c>
      <c r="G489" s="2" t="str">
        <f>IF(_xlfn.XLOOKUP(orders!C489,customers!$A$1:$A$1001,customers!$C$1:$C$1001,,0)=0,"",_xlfn.XLOOKUP(orders!C489,customers!$A$1:$A$1001,customers!$C$1:$C$1001,,0))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6">
        <f t="shared" si="21"/>
        <v>72.900000000000006</v>
      </c>
      <c r="N489" t="str">
        <f t="shared" si="22"/>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_xlfn.XLOOKUP(orders!C490,customers!$A$1:$A$1001,customers!$B$1:$B$1001,,0)</f>
        <v>Becky Semkins</v>
      </c>
      <c r="G490" s="2" t="str">
        <f>IF(_xlfn.XLOOKUP(orders!C490,customers!$A$1:$A$1001,customers!$C$1:$C$1001,,0)=0,"",_xlfn.XLOOKUP(orders!C490,customers!$A$1:$A$1001,customers!$C$1:$C$1001,,0))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6">
        <f t="shared" si="21"/>
        <v>14.924999999999999</v>
      </c>
      <c r="N490" t="str">
        <f t="shared" si="22"/>
        <v>Robusta</v>
      </c>
      <c r="O490"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f>_xlfn.XLOOKUP(orders!C491,customers!$A$1:$A$1001,customers!$B$1:$B$1001,,0)</f>
        <v>Sean Lorenzetti</v>
      </c>
      <c r="G491" s="2" t="str">
        <f>IF(_xlfn.XLOOKUP(orders!C491,customers!$A$1:$A$1001,customers!$C$1:$C$1001,,0)=0,"",_xlfn.XLOOKUP(orders!C491,customers!$A$1:$A$1001,customers!$C$1:$C$1001,,0))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6">
        <f t="shared" si="21"/>
        <v>95.1</v>
      </c>
      <c r="N491" t="str">
        <f t="shared" si="22"/>
        <v>Liberica</v>
      </c>
      <c r="O491"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f>_xlfn.XLOOKUP(orders!C492,customers!$A$1:$A$1001,customers!$B$1:$B$1001,,0)</f>
        <v>Bob Giannazzi</v>
      </c>
      <c r="G492" s="2" t="str">
        <f>IF(_xlfn.XLOOKUP(orders!C492,customers!$A$1:$A$1001,customers!$C$1:$C$1001,,0)=0,"",_xlfn.XLOOKUP(orders!C492,customers!$A$1:$A$1001,customers!$C$1:$C$1001,,0))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6">
        <f t="shared" si="21"/>
        <v>15.54</v>
      </c>
      <c r="N492" t="str">
        <f t="shared" si="22"/>
        <v>Liberica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_xlfn.XLOOKUP(orders!C493,customers!$A$1:$A$1001,customers!$B$1:$B$1001,,0)</f>
        <v>Kendra Backshell</v>
      </c>
      <c r="G493" s="2" t="str">
        <f>IF(_xlfn.XLOOKUP(orders!C493,customers!$A$1:$A$1001,customers!$C$1:$C$1001,,0)=0,"",_xlfn.XLOOKUP(orders!C493,customers!$A$1:$A$1001,customers!$C$1:$C$1001,,0))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6">
        <f t="shared" si="21"/>
        <v>23.31</v>
      </c>
      <c r="N493" t="str">
        <f t="shared" si="22"/>
        <v>Liberica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_xlfn.XLOOKUP(orders!C494,customers!$A$1:$A$1001,customers!$B$1:$B$1001,,0)</f>
        <v>Uriah Lethbrig</v>
      </c>
      <c r="G494" s="2" t="str">
        <f>IF(_xlfn.XLOOKUP(orders!C494,customers!$A$1:$A$1001,customers!$C$1:$C$1001,,0)=0,"",_xlfn.XLOOKUP(orders!C494,customers!$A$1:$A$1001,customers!$C$1:$C$1001,,0))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6">
        <f t="shared" si="21"/>
        <v>4.125</v>
      </c>
      <c r="N494" t="str">
        <f t="shared" si="22"/>
        <v>Excelsa</v>
      </c>
      <c r="O494"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f>_xlfn.XLOOKUP(orders!C495,customers!$A$1:$A$1001,customers!$B$1:$B$1001,,0)</f>
        <v>Sky Farnish</v>
      </c>
      <c r="G495" s="2" t="str">
        <f>IF(_xlfn.XLOOKUP(orders!C495,customers!$A$1:$A$1001,customers!$C$1:$C$1001,,0)=0,"",_xlfn.XLOOKUP(orders!C495,customers!$A$1:$A$1001,customers!$C$1:$C$1001,,0))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6">
        <f t="shared" si="21"/>
        <v>35.82</v>
      </c>
      <c r="N495" t="str">
        <f t="shared" si="22"/>
        <v>Robusta</v>
      </c>
      <c r="O495"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f>_xlfn.XLOOKUP(orders!C496,customers!$A$1:$A$1001,customers!$B$1:$B$1001,,0)</f>
        <v>Felicia Jecock</v>
      </c>
      <c r="G496" s="2" t="str">
        <f>IF(_xlfn.XLOOKUP(orders!C496,customers!$A$1:$A$1001,customers!$C$1:$C$1001,,0)=0,"",_xlfn.XLOOKUP(orders!C496,customers!$A$1:$A$1001,customers!$C$1:$C$1001,,0))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6">
        <f t="shared" si="21"/>
        <v>31.7</v>
      </c>
      <c r="N496" t="str">
        <f t="shared" si="22"/>
        <v>Liberica</v>
      </c>
      <c r="O496"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f>_xlfn.XLOOKUP(orders!C497,customers!$A$1:$A$1001,customers!$B$1:$B$1001,,0)</f>
        <v>Currey MacAllister</v>
      </c>
      <c r="G497" s="2" t="str">
        <f>IF(_xlfn.XLOOKUP(orders!C497,customers!$A$1:$A$1001,customers!$C$1:$C$1001,,0)=0,"",_xlfn.XLOOKUP(orders!C497,customers!$A$1:$A$1001,customers!$C$1:$C$1001,,0))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6">
        <f t="shared" si="21"/>
        <v>79.25</v>
      </c>
      <c r="N497" t="str">
        <f t="shared" si="22"/>
        <v>Liberica</v>
      </c>
      <c r="O497"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f>_xlfn.XLOOKUP(orders!C498,customers!$A$1:$A$1001,customers!$B$1:$B$1001,,0)</f>
        <v>Hamlen Pallister</v>
      </c>
      <c r="G498" s="2" t="str">
        <f>IF(_xlfn.XLOOKUP(orders!C498,customers!$A$1:$A$1001,customers!$C$1:$C$1001,,0)=0,"",_xlfn.XLOOKUP(orders!C498,customers!$A$1:$A$1001,customers!$C$1:$C$1001,,0))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6">
        <f t="shared" si="21"/>
        <v>10.935</v>
      </c>
      <c r="N498" t="str">
        <f t="shared" si="22"/>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_xlfn.XLOOKUP(orders!C499,customers!$A$1:$A$1001,customers!$B$1:$B$1001,,0)</f>
        <v>Chantal Mersh</v>
      </c>
      <c r="G499" s="2" t="str">
        <f>IF(_xlfn.XLOOKUP(orders!C499,customers!$A$1:$A$1001,customers!$C$1:$C$1001,,0)=0,"",_xlfn.XLOOKUP(orders!C499,customers!$A$1:$A$1001,customers!$C$1:$C$1001,,0))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6">
        <f t="shared" si="21"/>
        <v>39.799999999999997</v>
      </c>
      <c r="N499" t="str">
        <f t="shared" si="22"/>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_xlfn.XLOOKUP(orders!C500,customers!$A$1:$A$1001,customers!$B$1:$B$1001,,0)</f>
        <v>Marja Urion</v>
      </c>
      <c r="G500" s="2" t="str">
        <f>IF(_xlfn.XLOOKUP(orders!C500,customers!$A$1:$A$1001,customers!$C$1:$C$1001,,0)=0,"",_xlfn.XLOOKUP(orders!C500,customers!$A$1:$A$1001,customers!$C$1:$C$1001,,0))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6">
        <f t="shared" si="21"/>
        <v>49.75</v>
      </c>
      <c r="N500" t="str">
        <f t="shared" si="22"/>
        <v>Robusta</v>
      </c>
      <c r="O500"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f>_xlfn.XLOOKUP(orders!C501,customers!$A$1:$A$1001,customers!$B$1:$B$1001,,0)</f>
        <v>Malynda Purbrick</v>
      </c>
      <c r="G501" s="2" t="str">
        <f>IF(_xlfn.XLOOKUP(orders!C501,customers!$A$1:$A$1001,customers!$C$1:$C$1001,,0)=0,"",_xlfn.XLOOKUP(orders!C501,customers!$A$1:$A$1001,customers!$C$1:$C$1001,,0))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6">
        <f t="shared" si="21"/>
        <v>8.0549999999999997</v>
      </c>
      <c r="N501" t="str">
        <f t="shared" si="22"/>
        <v>Robusta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_xlfn.XLOOKUP(orders!C502,customers!$A$1:$A$1001,customers!$B$1:$B$1001,,0)</f>
        <v>Alf Housaman</v>
      </c>
      <c r="G502" s="2" t="str">
        <f>IF(_xlfn.XLOOKUP(orders!C502,customers!$A$1:$A$1001,customers!$C$1:$C$1001,,0)=0,"",_xlfn.XLOOKUP(orders!C502,customers!$A$1:$A$1001,customers!$C$1:$C$1001,,0))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6">
        <f t="shared" si="21"/>
        <v>47.8</v>
      </c>
      <c r="N502" t="str">
        <f t="shared" si="22"/>
        <v>Robusta</v>
      </c>
      <c r="O50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f>_xlfn.XLOOKUP(orders!C503,customers!$A$1:$A$1001,customers!$B$1:$B$1001,,0)</f>
        <v>Gladi Ducker</v>
      </c>
      <c r="G503" s="2" t="str">
        <f>IF(_xlfn.XLOOKUP(orders!C503,customers!$A$1:$A$1001,customers!$C$1:$C$1001,,0)=0,"",_xlfn.XLOOKUP(orders!C503,customers!$A$1:$A$1001,customers!$C$1:$C$1001,,0))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6">
        <f t="shared" si="21"/>
        <v>11.94</v>
      </c>
      <c r="N503" t="str">
        <f t="shared" si="22"/>
        <v>Robusta</v>
      </c>
      <c r="O503"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f>_xlfn.XLOOKUP(orders!C504,customers!$A$1:$A$1001,customers!$B$1:$B$1001,,0)</f>
        <v>Gladi Ducker</v>
      </c>
      <c r="G504" s="2" t="str">
        <f>IF(_xlfn.XLOOKUP(orders!C504,customers!$A$1:$A$1001,customers!$C$1:$C$1001,,0)=0,"",_xlfn.XLOOKUP(orders!C504,customers!$A$1:$A$1001,customers!$C$1:$C$1001,,0))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6">
        <f t="shared" si="21"/>
        <v>16.5</v>
      </c>
      <c r="N504" t="str">
        <f t="shared" si="22"/>
        <v>Excelsa</v>
      </c>
      <c r="O504"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f>_xlfn.XLOOKUP(orders!C505,customers!$A$1:$A$1001,customers!$B$1:$B$1001,,0)</f>
        <v>Gladi Ducker</v>
      </c>
      <c r="G505" s="2" t="str">
        <f>IF(_xlfn.XLOOKUP(orders!C505,customers!$A$1:$A$1001,customers!$C$1:$C$1001,,0)=0,"",_xlfn.XLOOKUP(orders!C505,customers!$A$1:$A$1001,customers!$C$1:$C$1001,,0))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6">
        <f t="shared" si="21"/>
        <v>51.8</v>
      </c>
      <c r="N505" t="str">
        <f t="shared" si="22"/>
        <v>Liberica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_xlfn.XLOOKUP(orders!C506,customers!$A$1:$A$1001,customers!$B$1:$B$1001,,0)</f>
        <v>Gladi Ducker</v>
      </c>
      <c r="G506" s="2" t="str">
        <f>IF(_xlfn.XLOOKUP(orders!C506,customers!$A$1:$A$1001,customers!$C$1:$C$1001,,0)=0,"",_xlfn.XLOOKUP(orders!C506,customers!$A$1:$A$1001,customers!$C$1:$C$1001,,0))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6">
        <f t="shared" si="21"/>
        <v>14.265000000000001</v>
      </c>
      <c r="N506" t="str">
        <f t="shared" si="22"/>
        <v>Liberica</v>
      </c>
      <c r="O506"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f>_xlfn.XLOOKUP(orders!C507,customers!$A$1:$A$1001,customers!$B$1:$B$1001,,0)</f>
        <v>Wain Stearley</v>
      </c>
      <c r="G507" s="2" t="str">
        <f>IF(_xlfn.XLOOKUP(orders!C507,customers!$A$1:$A$1001,customers!$C$1:$C$1001,,0)=0,"",_xlfn.XLOOKUP(orders!C507,customers!$A$1:$A$1001,customers!$C$1:$C$1001,,0))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6">
        <f t="shared" si="21"/>
        <v>26.19</v>
      </c>
      <c r="N507" t="str">
        <f t="shared" si="22"/>
        <v>Liberica</v>
      </c>
      <c r="O507"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f>_xlfn.XLOOKUP(orders!C508,customers!$A$1:$A$1001,customers!$B$1:$B$1001,,0)</f>
        <v>Diane-marie Wincer</v>
      </c>
      <c r="G508" s="2" t="str">
        <f>IF(_xlfn.XLOOKUP(orders!C508,customers!$A$1:$A$1001,customers!$C$1:$C$1001,,0)=0,"",_xlfn.XLOOKUP(orders!C508,customers!$A$1:$A$1001,customers!$C$1:$C$1001,,0))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6">
        <f t="shared" si="21"/>
        <v>25.9</v>
      </c>
      <c r="N508" t="str">
        <f t="shared" si="22"/>
        <v>Arabica</v>
      </c>
      <c r="O508"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f>_xlfn.XLOOKUP(orders!C509,customers!$A$1:$A$1001,customers!$B$1:$B$1001,,0)</f>
        <v>Perry Lyfield</v>
      </c>
      <c r="G509" s="2" t="str">
        <f>IF(_xlfn.XLOOKUP(orders!C509,customers!$A$1:$A$1001,customers!$C$1:$C$1001,,0)=0,"",_xlfn.XLOOKUP(orders!C509,customers!$A$1:$A$1001,customers!$C$1:$C$1001,,0))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6">
        <f t="shared" si="21"/>
        <v>89.35499999999999</v>
      </c>
      <c r="N509" t="str">
        <f t="shared" si="22"/>
        <v>Arabica</v>
      </c>
      <c r="O509"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f>_xlfn.XLOOKUP(orders!C510,customers!$A$1:$A$1001,customers!$B$1:$B$1001,,0)</f>
        <v>Heall Perris</v>
      </c>
      <c r="G510" s="2" t="str">
        <f>IF(_xlfn.XLOOKUP(orders!C510,customers!$A$1:$A$1001,customers!$C$1:$C$1001,,0)=0,"",_xlfn.XLOOKUP(orders!C510,customers!$A$1:$A$1001,customers!$C$1:$C$1001,,0))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6">
        <f t="shared" si="21"/>
        <v>46.62</v>
      </c>
      <c r="N510" t="str">
        <f t="shared" si="22"/>
        <v>Liberica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_xlfn.XLOOKUP(orders!C511,customers!$A$1:$A$1001,customers!$B$1:$B$1001,,0)</f>
        <v>Marja Urion</v>
      </c>
      <c r="G511" s="2" t="str">
        <f>IF(_xlfn.XLOOKUP(orders!C511,customers!$A$1:$A$1001,customers!$C$1:$C$1001,,0)=0,"",_xlfn.XLOOKUP(orders!C511,customers!$A$1:$A$1001,customers!$C$1:$C$1001,,0))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6">
        <f t="shared" si="21"/>
        <v>29.849999999999998</v>
      </c>
      <c r="N511" t="str">
        <f t="shared" si="22"/>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_xlfn.XLOOKUP(orders!C512,customers!$A$1:$A$1001,customers!$B$1:$B$1001,,0)</f>
        <v>Camellia Kid</v>
      </c>
      <c r="G512" s="2" t="str">
        <f>IF(_xlfn.XLOOKUP(orders!C512,customers!$A$1:$A$1001,customers!$C$1:$C$1001,,0)=0,"",_xlfn.XLOOKUP(orders!C512,customers!$A$1:$A$1001,customers!$C$1:$C$1001,,0))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6">
        <f t="shared" si="21"/>
        <v>10.754999999999999</v>
      </c>
      <c r="N512" t="str">
        <f t="shared" si="22"/>
        <v>Robusta</v>
      </c>
      <c r="O51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f>_xlfn.XLOOKUP(orders!C513,customers!$A$1:$A$1001,customers!$B$1:$B$1001,,0)</f>
        <v>Carolann Beine</v>
      </c>
      <c r="G513" s="2" t="str">
        <f>IF(_xlfn.XLOOKUP(orders!C513,customers!$A$1:$A$1001,customers!$C$1:$C$1001,,0)=0,"",_xlfn.XLOOKUP(orders!C513,customers!$A$1:$A$1001,customers!$C$1:$C$1001,,0))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6">
        <f t="shared" si="21"/>
        <v>13.5</v>
      </c>
      <c r="N513" t="str">
        <f t="shared" si="22"/>
        <v>Arabica</v>
      </c>
      <c r="O513"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f>_xlfn.XLOOKUP(orders!C514,customers!$A$1:$A$1001,customers!$B$1:$B$1001,,0)</f>
        <v>Celia Bakeup</v>
      </c>
      <c r="G514" s="2" t="str">
        <f>IF(_xlfn.XLOOKUP(orders!C514,customers!$A$1:$A$1001,customers!$C$1:$C$1001,,0)=0,"",_xlfn.XLOOKUP(orders!C514,customers!$A$1:$A$1001,customers!$C$1:$C$1001,,0))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6">
        <f t="shared" si="21"/>
        <v>47.55</v>
      </c>
      <c r="N514" t="str">
        <f t="shared" si="22"/>
        <v>Liberica</v>
      </c>
      <c r="O514"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f>_xlfn.XLOOKUP(orders!C515,customers!$A$1:$A$1001,customers!$B$1:$B$1001,,0)</f>
        <v>Nataniel Helkin</v>
      </c>
      <c r="G515" s="2" t="str">
        <f>IF(_xlfn.XLOOKUP(orders!C515,customers!$A$1:$A$1001,customers!$C$1:$C$1001,,0)=0,"",_xlfn.XLOOKUP(orders!C515,customers!$A$1:$A$1001,customers!$C$1:$C$1001,,0))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6">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_xlfn.XLOOKUP(orders!C516,customers!$A$1:$A$1001,customers!$B$1:$B$1001,,0)</f>
        <v>Pippo Witherington</v>
      </c>
      <c r="G516" s="2" t="str">
        <f>IF(_xlfn.XLOOKUP(orders!C516,customers!$A$1:$A$1001,customers!$C$1:$C$1001,,0)=0,"",_xlfn.XLOOKUP(orders!C516,customers!$A$1:$A$1001,customers!$C$1:$C$1001,,0))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6">
        <f t="shared" si="24"/>
        <v>26.19</v>
      </c>
      <c r="N516" t="str">
        <f t="shared" si="25"/>
        <v>Liberica</v>
      </c>
      <c r="O516"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f>_xlfn.XLOOKUP(orders!C517,customers!$A$1:$A$1001,customers!$B$1:$B$1001,,0)</f>
        <v>Tildie Tilzey</v>
      </c>
      <c r="G517" s="2" t="str">
        <f>IF(_xlfn.XLOOKUP(orders!C517,customers!$A$1:$A$1001,customers!$C$1:$C$1001,,0)=0,"",_xlfn.XLOOKUP(orders!C517,customers!$A$1:$A$1001,customers!$C$1:$C$1001,,0))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6">
        <f t="shared" si="24"/>
        <v>21.509999999999998</v>
      </c>
      <c r="N517" t="str">
        <f t="shared" si="25"/>
        <v>Robusta</v>
      </c>
      <c r="O517"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f>_xlfn.XLOOKUP(orders!C518,customers!$A$1:$A$1001,customers!$B$1:$B$1001,,0)</f>
        <v>Cindra Burling</v>
      </c>
      <c r="G518" s="2" t="str">
        <f>IF(_xlfn.XLOOKUP(orders!C518,customers!$A$1:$A$1001,customers!$C$1:$C$1001,,0)=0,"",_xlfn.XLOOKUP(orders!C518,customers!$A$1:$A$1001,customers!$C$1:$C$1001,,0))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6">
        <f t="shared" si="24"/>
        <v>102.92499999999998</v>
      </c>
      <c r="N518" t="str">
        <f t="shared" si="25"/>
        <v>Robusta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_xlfn.XLOOKUP(orders!C519,customers!$A$1:$A$1001,customers!$B$1:$B$1001,,0)</f>
        <v>Channa Belamy</v>
      </c>
      <c r="G519" s="2" t="str">
        <f>IF(_xlfn.XLOOKUP(orders!C519,customers!$A$1:$A$1001,customers!$C$1:$C$1001,,0)=0,"",_xlfn.XLOOKUP(orders!C519,customers!$A$1:$A$1001,customers!$C$1:$C$1001,,0))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6">
        <f t="shared" si="24"/>
        <v>7.77</v>
      </c>
      <c r="N519" t="str">
        <f t="shared" si="25"/>
        <v>Liberica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_xlfn.XLOOKUP(orders!C520,customers!$A$1:$A$1001,customers!$B$1:$B$1001,,0)</f>
        <v>Karl Imorts</v>
      </c>
      <c r="G520" s="2" t="str">
        <f>IF(_xlfn.XLOOKUP(orders!C520,customers!$A$1:$A$1001,customers!$C$1:$C$1001,,0)=0,"",_xlfn.XLOOKUP(orders!C520,customers!$A$1:$A$1001,customers!$C$1:$C$1001,,0))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6">
        <f t="shared" si="24"/>
        <v>139.72499999999999</v>
      </c>
      <c r="N520" t="str">
        <f t="shared" si="25"/>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_xlfn.XLOOKUP(orders!C521,customers!$A$1:$A$1001,customers!$B$1:$B$1001,,0)</f>
        <v>Marja Urion</v>
      </c>
      <c r="G521" s="2" t="str">
        <f>IF(_xlfn.XLOOKUP(orders!C521,customers!$A$1:$A$1001,customers!$C$1:$C$1001,,0)=0,"",_xlfn.XLOOKUP(orders!C521,customers!$A$1:$A$1001,customers!$C$1:$C$1001,,0))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6">
        <f t="shared" si="24"/>
        <v>11.94</v>
      </c>
      <c r="N521" t="str">
        <f t="shared" si="25"/>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_xlfn.XLOOKUP(orders!C522,customers!$A$1:$A$1001,customers!$B$1:$B$1001,,0)</f>
        <v>Mag Armistead</v>
      </c>
      <c r="G522" s="2" t="str">
        <f>IF(_xlfn.XLOOKUP(orders!C522,customers!$A$1:$A$1001,customers!$C$1:$C$1001,,0)=0,"",_xlfn.XLOOKUP(orders!C522,customers!$A$1:$A$1001,customers!$C$1:$C$1001,,0))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6">
        <f t="shared" si="24"/>
        <v>3.8849999999999998</v>
      </c>
      <c r="N522" t="str">
        <f t="shared" si="25"/>
        <v>Liberica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_xlfn.XLOOKUP(orders!C523,customers!$A$1:$A$1001,customers!$B$1:$B$1001,,0)</f>
        <v>Mag Armistead</v>
      </c>
      <c r="G523" s="2" t="str">
        <f>IF(_xlfn.XLOOKUP(orders!C523,customers!$A$1:$A$1001,customers!$C$1:$C$1001,,0)=0,"",_xlfn.XLOOKUP(orders!C523,customers!$A$1:$A$1001,customers!$C$1:$C$1001,,0))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6">
        <f t="shared" si="24"/>
        <v>39.799999999999997</v>
      </c>
      <c r="N523" t="str">
        <f t="shared" si="25"/>
        <v>Robusta</v>
      </c>
      <c r="O523"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f>_xlfn.XLOOKUP(orders!C524,customers!$A$1:$A$1001,customers!$B$1:$B$1001,,0)</f>
        <v>Vasili Upstone</v>
      </c>
      <c r="G524" s="2" t="str">
        <f>IF(_xlfn.XLOOKUP(orders!C524,customers!$A$1:$A$1001,customers!$C$1:$C$1001,,0)=0,"",_xlfn.XLOOKUP(orders!C524,customers!$A$1:$A$1001,customers!$C$1:$C$1001,,0))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6">
        <f t="shared" si="24"/>
        <v>29.849999999999998</v>
      </c>
      <c r="N524" t="str">
        <f t="shared" si="25"/>
        <v>Robusta</v>
      </c>
      <c r="O524"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f>_xlfn.XLOOKUP(orders!C525,customers!$A$1:$A$1001,customers!$B$1:$B$1001,,0)</f>
        <v>Berty Beelby</v>
      </c>
      <c r="G525" s="2" t="str">
        <f>IF(_xlfn.XLOOKUP(orders!C525,customers!$A$1:$A$1001,customers!$C$1:$C$1001,,0)=0,"",_xlfn.XLOOKUP(orders!C525,customers!$A$1:$A$1001,customers!$C$1:$C$1001,,0))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6">
        <f t="shared" si="24"/>
        <v>29.784999999999997</v>
      </c>
      <c r="N525" t="str">
        <f t="shared" si="25"/>
        <v>Liberica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_xlfn.XLOOKUP(orders!C526,customers!$A$1:$A$1001,customers!$B$1:$B$1001,,0)</f>
        <v>Erny Stenyng</v>
      </c>
      <c r="G526" s="2" t="str">
        <f>IF(_xlfn.XLOOKUP(orders!C526,customers!$A$1:$A$1001,customers!$C$1:$C$1001,,0)=0,"",_xlfn.XLOOKUP(orders!C526,customers!$A$1:$A$1001,customers!$C$1:$C$1001,,0))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6">
        <f t="shared" si="24"/>
        <v>72.91</v>
      </c>
      <c r="N526" t="str">
        <f t="shared" si="25"/>
        <v>Liberica</v>
      </c>
      <c r="O526"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f>_xlfn.XLOOKUP(orders!C527,customers!$A$1:$A$1001,customers!$B$1:$B$1001,,0)</f>
        <v>Edin Yantsurev</v>
      </c>
      <c r="G527" s="2" t="str">
        <f>IF(_xlfn.XLOOKUP(orders!C527,customers!$A$1:$A$1001,customers!$C$1:$C$1001,,0)=0,"",_xlfn.XLOOKUP(orders!C527,customers!$A$1:$A$1001,customers!$C$1:$C$1001,,0))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6">
        <f t="shared" si="24"/>
        <v>13.424999999999997</v>
      </c>
      <c r="N527" t="str">
        <f t="shared" si="25"/>
        <v>Robusta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_xlfn.XLOOKUP(orders!C528,customers!$A$1:$A$1001,customers!$B$1:$B$1001,,0)</f>
        <v>Webb Speechly</v>
      </c>
      <c r="G528" s="2" t="str">
        <f>IF(_xlfn.XLOOKUP(orders!C528,customers!$A$1:$A$1001,customers!$C$1:$C$1001,,0)=0,"",_xlfn.XLOOKUP(orders!C528,customers!$A$1:$A$1001,customers!$C$1:$C$1001,,0))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6">
        <f t="shared" si="24"/>
        <v>126.49999999999999</v>
      </c>
      <c r="N528" t="str">
        <f t="shared" si="25"/>
        <v>Excelsa</v>
      </c>
      <c r="O528"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f>_xlfn.XLOOKUP(orders!C529,customers!$A$1:$A$1001,customers!$B$1:$B$1001,,0)</f>
        <v>Irvine Phillpot</v>
      </c>
      <c r="G529" s="2" t="str">
        <f>IF(_xlfn.XLOOKUP(orders!C529,customers!$A$1:$A$1001,customers!$C$1:$C$1001,,0)=0,"",_xlfn.XLOOKUP(orders!C529,customers!$A$1:$A$1001,customers!$C$1:$C$1001,,0))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6">
        <f t="shared" si="24"/>
        <v>41.25</v>
      </c>
      <c r="N529" t="str">
        <f t="shared" si="25"/>
        <v>Excelsa</v>
      </c>
      <c r="O529"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f>_xlfn.XLOOKUP(orders!C530,customers!$A$1:$A$1001,customers!$B$1:$B$1001,,0)</f>
        <v>Lem Pennacci</v>
      </c>
      <c r="G530" s="2" t="str">
        <f>IF(_xlfn.XLOOKUP(orders!C530,customers!$A$1:$A$1001,customers!$C$1:$C$1001,,0)=0,"",_xlfn.XLOOKUP(orders!C530,customers!$A$1:$A$1001,customers!$C$1:$C$1001,,0))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6">
        <f t="shared" si="24"/>
        <v>53.46</v>
      </c>
      <c r="N530" t="str">
        <f t="shared" si="25"/>
        <v>Excelsa</v>
      </c>
      <c r="O530"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f>_xlfn.XLOOKUP(orders!C531,customers!$A$1:$A$1001,customers!$B$1:$B$1001,,0)</f>
        <v>Starr Arpin</v>
      </c>
      <c r="G531" s="2" t="str">
        <f>IF(_xlfn.XLOOKUP(orders!C531,customers!$A$1:$A$1001,customers!$C$1:$C$1001,,0)=0,"",_xlfn.XLOOKUP(orders!C531,customers!$A$1:$A$1001,customers!$C$1:$C$1001,,0))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6">
        <f t="shared" si="24"/>
        <v>59.699999999999996</v>
      </c>
      <c r="N531" t="str">
        <f t="shared" si="25"/>
        <v>Robusta</v>
      </c>
      <c r="O531"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f>_xlfn.XLOOKUP(orders!C532,customers!$A$1:$A$1001,customers!$B$1:$B$1001,,0)</f>
        <v>Donny Fries</v>
      </c>
      <c r="G532" s="2" t="str">
        <f>IF(_xlfn.XLOOKUP(orders!C532,customers!$A$1:$A$1001,customers!$C$1:$C$1001,,0)=0,"",_xlfn.XLOOKUP(orders!C532,customers!$A$1:$A$1001,customers!$C$1:$C$1001,,0))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6">
        <f t="shared" si="24"/>
        <v>59.699999999999996</v>
      </c>
      <c r="N532" t="str">
        <f t="shared" si="25"/>
        <v>Robusta</v>
      </c>
      <c r="O53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f>_xlfn.XLOOKUP(orders!C533,customers!$A$1:$A$1001,customers!$B$1:$B$1001,,0)</f>
        <v>Rana Sharer</v>
      </c>
      <c r="G533" s="2" t="str">
        <f>IF(_xlfn.XLOOKUP(orders!C533,customers!$A$1:$A$1001,customers!$C$1:$C$1001,,0)=0,"",_xlfn.XLOOKUP(orders!C533,customers!$A$1:$A$1001,customers!$C$1:$C$1001,,0))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6">
        <f t="shared" si="24"/>
        <v>44.75</v>
      </c>
      <c r="N533" t="str">
        <f t="shared" si="25"/>
        <v>Robusta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_xlfn.XLOOKUP(orders!C534,customers!$A$1:$A$1001,customers!$B$1:$B$1001,,0)</f>
        <v>Nannie Naseby</v>
      </c>
      <c r="G534" s="2" t="str">
        <f>IF(_xlfn.XLOOKUP(orders!C534,customers!$A$1:$A$1001,customers!$C$1:$C$1001,,0)=0,"",_xlfn.XLOOKUP(orders!C534,customers!$A$1:$A$1001,customers!$C$1:$C$1001,,0))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6">
        <f t="shared" si="24"/>
        <v>16.5</v>
      </c>
      <c r="N534" t="str">
        <f t="shared" si="25"/>
        <v>Excelsa</v>
      </c>
      <c r="O534"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f>_xlfn.XLOOKUP(orders!C535,customers!$A$1:$A$1001,customers!$B$1:$B$1001,,0)</f>
        <v>Rea Offell</v>
      </c>
      <c r="G535" s="2" t="str">
        <f>IF(_xlfn.XLOOKUP(orders!C535,customers!$A$1:$A$1001,customers!$C$1:$C$1001,,0)=0,"",_xlfn.XLOOKUP(orders!C535,customers!$A$1:$A$1001,customers!$C$1:$C$1001,,0))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6">
        <f t="shared" si="24"/>
        <v>21.479999999999997</v>
      </c>
      <c r="N535" t="str">
        <f t="shared" si="25"/>
        <v>Robusta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_xlfn.XLOOKUP(orders!C536,customers!$A$1:$A$1001,customers!$B$1:$B$1001,,0)</f>
        <v>Kris O'Cullen</v>
      </c>
      <c r="G536" s="2" t="str">
        <f>IF(_xlfn.XLOOKUP(orders!C536,customers!$A$1:$A$1001,customers!$C$1:$C$1001,,0)=0,"",_xlfn.XLOOKUP(orders!C536,customers!$A$1:$A$1001,customers!$C$1:$C$1001,,0))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6">
        <f t="shared" si="24"/>
        <v>45.769999999999996</v>
      </c>
      <c r="N536" t="str">
        <f t="shared" si="25"/>
        <v>Robusta</v>
      </c>
      <c r="O536"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f>_xlfn.XLOOKUP(orders!C537,customers!$A$1:$A$1001,customers!$B$1:$B$1001,,0)</f>
        <v>Timoteo Glisane</v>
      </c>
      <c r="G537" s="2" t="str">
        <f>IF(_xlfn.XLOOKUP(orders!C537,customers!$A$1:$A$1001,customers!$C$1:$C$1001,,0)=0,"",_xlfn.XLOOKUP(orders!C537,customers!$A$1:$A$1001,customers!$C$1:$C$1001,,0))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6">
        <f t="shared" si="24"/>
        <v>9.51</v>
      </c>
      <c r="N537" t="str">
        <f t="shared" si="25"/>
        <v>Liberica</v>
      </c>
      <c r="O537"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f>_xlfn.XLOOKUP(orders!C538,customers!$A$1:$A$1001,customers!$B$1:$B$1001,,0)</f>
        <v>Marja Urion</v>
      </c>
      <c r="G538" s="2" t="str">
        <f>IF(_xlfn.XLOOKUP(orders!C538,customers!$A$1:$A$1001,customers!$C$1:$C$1001,,0)=0,"",_xlfn.XLOOKUP(orders!C538,customers!$A$1:$A$1001,customers!$C$1:$C$1001,,0))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6">
        <f t="shared" si="24"/>
        <v>8.0549999999999997</v>
      </c>
      <c r="N538" t="str">
        <f t="shared" si="25"/>
        <v>Robusta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_xlfn.XLOOKUP(orders!C539,customers!$A$1:$A$1001,customers!$B$1:$B$1001,,0)</f>
        <v>Hildegarde Brangan</v>
      </c>
      <c r="G539" s="2" t="str">
        <f>IF(_xlfn.XLOOKUP(orders!C539,customers!$A$1:$A$1001,customers!$C$1:$C$1001,,0)=0,"",_xlfn.XLOOKUP(orders!C539,customers!$A$1:$A$1001,customers!$C$1:$C$1001,,0))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6">
        <f t="shared" si="24"/>
        <v>111.78</v>
      </c>
      <c r="N539" t="str">
        <f t="shared" si="25"/>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_xlfn.XLOOKUP(orders!C540,customers!$A$1:$A$1001,customers!$B$1:$B$1001,,0)</f>
        <v>Amii Gallyon</v>
      </c>
      <c r="G540" s="2" t="str">
        <f>IF(_xlfn.XLOOKUP(orders!C540,customers!$A$1:$A$1001,customers!$C$1:$C$1001,,0)=0,"",_xlfn.XLOOKUP(orders!C540,customers!$A$1:$A$1001,customers!$C$1:$C$1001,,0))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6">
        <f t="shared" si="24"/>
        <v>10.739999999999998</v>
      </c>
      <c r="N540" t="str">
        <f t="shared" si="25"/>
        <v>Robusta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_xlfn.XLOOKUP(orders!C541,customers!$A$1:$A$1001,customers!$B$1:$B$1001,,0)</f>
        <v>Birgit Domange</v>
      </c>
      <c r="G541" s="2" t="str">
        <f>IF(_xlfn.XLOOKUP(orders!C541,customers!$A$1:$A$1001,customers!$C$1:$C$1001,,0)=0,"",_xlfn.XLOOKUP(orders!C541,customers!$A$1:$A$1001,customers!$C$1:$C$1001,,0))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6">
        <f t="shared" si="24"/>
        <v>26.849999999999994</v>
      </c>
      <c r="N541" t="str">
        <f t="shared" si="25"/>
        <v>Robusta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_xlfn.XLOOKUP(orders!C542,customers!$A$1:$A$1001,customers!$B$1:$B$1001,,0)</f>
        <v>Killian Osler</v>
      </c>
      <c r="G542" s="2" t="str">
        <f>IF(_xlfn.XLOOKUP(orders!C542,customers!$A$1:$A$1001,customers!$C$1:$C$1001,,0)=0,"",_xlfn.XLOOKUP(orders!C542,customers!$A$1:$A$1001,customers!$C$1:$C$1001,,0))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6">
        <f t="shared" si="24"/>
        <v>63.4</v>
      </c>
      <c r="N542" t="str">
        <f t="shared" si="25"/>
        <v>Liberica</v>
      </c>
      <c r="O54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f>_xlfn.XLOOKUP(orders!C543,customers!$A$1:$A$1001,customers!$B$1:$B$1001,,0)</f>
        <v>Lora Dukes</v>
      </c>
      <c r="G543" s="2" t="str">
        <f>IF(_xlfn.XLOOKUP(orders!C543,customers!$A$1:$A$1001,customers!$C$1:$C$1001,,0)=0,"",_xlfn.XLOOKUP(orders!C543,customers!$A$1:$A$1001,customers!$C$1:$C$1001,,0))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6">
        <f t="shared" si="24"/>
        <v>22.884999999999998</v>
      </c>
      <c r="N543" t="str">
        <f t="shared" si="25"/>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_xlfn.XLOOKUP(orders!C544,customers!$A$1:$A$1001,customers!$B$1:$B$1001,,0)</f>
        <v>Zack Pellett</v>
      </c>
      <c r="G544" s="2" t="str">
        <f>IF(_xlfn.XLOOKUP(orders!C544,customers!$A$1:$A$1001,customers!$C$1:$C$1001,,0)=0,"",_xlfn.XLOOKUP(orders!C544,customers!$A$1:$A$1001,customers!$C$1:$C$1001,,0))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6">
        <f t="shared" si="24"/>
        <v>103.49999999999999</v>
      </c>
      <c r="N544" t="str">
        <f t="shared" si="25"/>
        <v>Arabica</v>
      </c>
      <c r="O544"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f>_xlfn.XLOOKUP(orders!C545,customers!$A$1:$A$1001,customers!$B$1:$B$1001,,0)</f>
        <v>Ilaire Sprakes</v>
      </c>
      <c r="G545" s="2" t="str">
        <f>IF(_xlfn.XLOOKUP(orders!C545,customers!$A$1:$A$1001,customers!$C$1:$C$1001,,0)=0,"",_xlfn.XLOOKUP(orders!C545,customers!$A$1:$A$1001,customers!$C$1:$C$1001,,0))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6">
        <f t="shared" si="24"/>
        <v>54.969999999999992</v>
      </c>
      <c r="N545" t="str">
        <f t="shared" si="25"/>
        <v>Robusta</v>
      </c>
      <c r="O545"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f>_xlfn.XLOOKUP(orders!C546,customers!$A$1:$A$1001,customers!$B$1:$B$1001,,0)</f>
        <v>Heda Fromant</v>
      </c>
      <c r="G546" s="2" t="str">
        <f>IF(_xlfn.XLOOKUP(orders!C546,customers!$A$1:$A$1001,customers!$C$1:$C$1001,,0)=0,"",_xlfn.XLOOKUP(orders!C546,customers!$A$1:$A$1001,customers!$C$1:$C$1001,,0))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6">
        <f t="shared" si="24"/>
        <v>15.54</v>
      </c>
      <c r="N546" t="str">
        <f t="shared" si="25"/>
        <v>Arabica</v>
      </c>
      <c r="O546"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f>_xlfn.XLOOKUP(orders!C547,customers!$A$1:$A$1001,customers!$B$1:$B$1001,,0)</f>
        <v>Rufus Flear</v>
      </c>
      <c r="G547" s="2" t="str">
        <f>IF(_xlfn.XLOOKUP(orders!C547,customers!$A$1:$A$1001,customers!$C$1:$C$1001,,0)=0,"",_xlfn.XLOOKUP(orders!C547,customers!$A$1:$A$1001,customers!$C$1:$C$1001,,0))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6">
        <f t="shared" si="24"/>
        <v>15.54</v>
      </c>
      <c r="N547" t="str">
        <f t="shared" si="25"/>
        <v>Liberica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_xlfn.XLOOKUP(orders!C548,customers!$A$1:$A$1001,customers!$B$1:$B$1001,,0)</f>
        <v>Dom Milella</v>
      </c>
      <c r="G548" s="2" t="str">
        <f>IF(_xlfn.XLOOKUP(orders!C548,customers!$A$1:$A$1001,customers!$C$1:$C$1001,,0)=0,"",_xlfn.XLOOKUP(orders!C548,customers!$A$1:$A$1001,customers!$C$1:$C$1001,,0))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6">
        <f t="shared" si="24"/>
        <v>83.835000000000008</v>
      </c>
      <c r="N548" t="str">
        <f t="shared" si="25"/>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_xlfn.XLOOKUP(orders!C549,customers!$A$1:$A$1001,customers!$B$1:$B$1001,,0)</f>
        <v>Wilek Lightollers</v>
      </c>
      <c r="G549" s="2" t="str">
        <f>IF(_xlfn.XLOOKUP(orders!C549,customers!$A$1:$A$1001,customers!$C$1:$C$1001,,0)=0,"",_xlfn.XLOOKUP(orders!C549,customers!$A$1:$A$1001,customers!$C$1:$C$1001,,0))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6">
        <f t="shared" si="24"/>
        <v>10.754999999999999</v>
      </c>
      <c r="N549" t="str">
        <f t="shared" si="25"/>
        <v>Robusta</v>
      </c>
      <c r="O549"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f>_xlfn.XLOOKUP(orders!C550,customers!$A$1:$A$1001,customers!$B$1:$B$1001,,0)</f>
        <v>Bette-ann Munden</v>
      </c>
      <c r="G550" s="2" t="str">
        <f>IF(_xlfn.XLOOKUP(orders!C550,customers!$A$1:$A$1001,customers!$C$1:$C$1001,,0)=0,"",_xlfn.XLOOKUP(orders!C550,customers!$A$1:$A$1001,customers!$C$1:$C$1001,,0))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6">
        <f t="shared" si="24"/>
        <v>13.365</v>
      </c>
      <c r="N550" t="str">
        <f t="shared" si="25"/>
        <v>Excelsa</v>
      </c>
      <c r="O550"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f>_xlfn.XLOOKUP(orders!C551,customers!$A$1:$A$1001,customers!$B$1:$B$1001,,0)</f>
        <v>Wilek Lightollers</v>
      </c>
      <c r="G551" s="2" t="str">
        <f>IF(_xlfn.XLOOKUP(orders!C551,customers!$A$1:$A$1001,customers!$C$1:$C$1001,,0)=0,"",_xlfn.XLOOKUP(orders!C551,customers!$A$1:$A$1001,customers!$C$1:$C$1001,,0))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6">
        <f t="shared" si="24"/>
        <v>17.82</v>
      </c>
      <c r="N551" t="str">
        <f t="shared" si="25"/>
        <v>Excelsa</v>
      </c>
      <c r="O551"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f>_xlfn.XLOOKUP(orders!C552,customers!$A$1:$A$1001,customers!$B$1:$B$1001,,0)</f>
        <v>Nick Brakespear</v>
      </c>
      <c r="G552" s="2" t="str">
        <f>IF(_xlfn.XLOOKUP(orders!C552,customers!$A$1:$A$1001,customers!$C$1:$C$1001,,0)=0,"",_xlfn.XLOOKUP(orders!C552,customers!$A$1:$A$1001,customers!$C$1:$C$1001,,0))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6">
        <f t="shared" si="24"/>
        <v>23.31</v>
      </c>
      <c r="N552" t="str">
        <f t="shared" si="25"/>
        <v>Liberica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_xlfn.XLOOKUP(orders!C553,customers!$A$1:$A$1001,customers!$B$1:$B$1001,,0)</f>
        <v>Malynda Glawsop</v>
      </c>
      <c r="G553" s="2" t="str">
        <f>IF(_xlfn.XLOOKUP(orders!C553,customers!$A$1:$A$1001,customers!$C$1:$C$1001,,0)=0,"",_xlfn.XLOOKUP(orders!C553,customers!$A$1:$A$1001,customers!$C$1:$C$1001,,0))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6">
        <f t="shared" si="24"/>
        <v>7.29</v>
      </c>
      <c r="N553" t="str">
        <f t="shared" si="25"/>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_xlfn.XLOOKUP(orders!C554,customers!$A$1:$A$1001,customers!$B$1:$B$1001,,0)</f>
        <v>Granville Alberts</v>
      </c>
      <c r="G554" s="2" t="str">
        <f>IF(_xlfn.XLOOKUP(orders!C554,customers!$A$1:$A$1001,customers!$C$1:$C$1001,,0)=0,"",_xlfn.XLOOKUP(orders!C554,customers!$A$1:$A$1001,customers!$C$1:$C$1001,,0))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6">
        <f t="shared" si="24"/>
        <v>17.82</v>
      </c>
      <c r="N554" t="str">
        <f t="shared" si="25"/>
        <v>Excelsa</v>
      </c>
      <c r="O554"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f>_xlfn.XLOOKUP(orders!C555,customers!$A$1:$A$1001,customers!$B$1:$B$1001,,0)</f>
        <v>Vasily Polglase</v>
      </c>
      <c r="G555" s="2" t="str">
        <f>IF(_xlfn.XLOOKUP(orders!C555,customers!$A$1:$A$1001,customers!$C$1:$C$1001,,0)=0,"",_xlfn.XLOOKUP(orders!C555,customers!$A$1:$A$1001,customers!$C$1:$C$1001,,0))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6">
        <f t="shared" si="24"/>
        <v>68.75</v>
      </c>
      <c r="N555" t="str">
        <f t="shared" si="25"/>
        <v>Excelsa</v>
      </c>
      <c r="O555"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f>_xlfn.XLOOKUP(orders!C556,customers!$A$1:$A$1001,customers!$B$1:$B$1001,,0)</f>
        <v>Madelaine Sharples</v>
      </c>
      <c r="G556" s="2" t="str">
        <f>IF(_xlfn.XLOOKUP(orders!C556,customers!$A$1:$A$1001,customers!$C$1:$C$1001,,0)=0,"",_xlfn.XLOOKUP(orders!C556,customers!$A$1:$A$1001,customers!$C$1:$C$1001,,0))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6">
        <f t="shared" si="24"/>
        <v>54.969999999999992</v>
      </c>
      <c r="N556" t="str">
        <f t="shared" si="25"/>
        <v>Robusta</v>
      </c>
      <c r="O556"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f>_xlfn.XLOOKUP(orders!C557,customers!$A$1:$A$1001,customers!$B$1:$B$1001,,0)</f>
        <v>Sigfrid Busch</v>
      </c>
      <c r="G557" s="2" t="str">
        <f>IF(_xlfn.XLOOKUP(orders!C557,customers!$A$1:$A$1001,customers!$C$1:$C$1001,,0)=0,"",_xlfn.XLOOKUP(orders!C557,customers!$A$1:$A$1001,customers!$C$1:$C$1001,,0))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6">
        <f t="shared" si="24"/>
        <v>82.5</v>
      </c>
      <c r="N557" t="str">
        <f t="shared" si="25"/>
        <v>Excelsa</v>
      </c>
      <c r="O557"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f>_xlfn.XLOOKUP(orders!C558,customers!$A$1:$A$1001,customers!$B$1:$B$1001,,0)</f>
        <v>Cissiee Raisbeck</v>
      </c>
      <c r="G558" s="2" t="str">
        <f>IF(_xlfn.XLOOKUP(orders!C558,customers!$A$1:$A$1001,customers!$C$1:$C$1001,,0)=0,"",_xlfn.XLOOKUP(orders!C558,customers!$A$1:$A$1001,customers!$C$1:$C$1001,,0))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6">
        <f t="shared" si="24"/>
        <v>8.73</v>
      </c>
      <c r="N558" t="str">
        <f t="shared" si="25"/>
        <v>Liberica</v>
      </c>
      <c r="O558"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f>_xlfn.XLOOKUP(orders!C559,customers!$A$1:$A$1001,customers!$B$1:$B$1001,,0)</f>
        <v>Marja Urion</v>
      </c>
      <c r="G559" s="2" t="str">
        <f>IF(_xlfn.XLOOKUP(orders!C559,customers!$A$1:$A$1001,customers!$C$1:$C$1001,,0)=0,"",_xlfn.XLOOKUP(orders!C559,customers!$A$1:$A$1001,customers!$C$1:$C$1001,,0))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6">
        <f t="shared" si="24"/>
        <v>59.4</v>
      </c>
      <c r="N559" t="str">
        <f t="shared" si="25"/>
        <v>Excelsa</v>
      </c>
      <c r="O559"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f>_xlfn.XLOOKUP(orders!C560,customers!$A$1:$A$1001,customers!$B$1:$B$1001,,0)</f>
        <v>Kenton Wetherick</v>
      </c>
      <c r="G560" s="2" t="str">
        <f>IF(_xlfn.XLOOKUP(orders!C560,customers!$A$1:$A$1001,customers!$C$1:$C$1001,,0)=0,"",_xlfn.XLOOKUP(orders!C560,customers!$A$1:$A$1001,customers!$C$1:$C$1001,,0))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6">
        <f t="shared" si="24"/>
        <v>15.54</v>
      </c>
      <c r="N560" t="str">
        <f t="shared" si="25"/>
        <v>Liberica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_xlfn.XLOOKUP(orders!C561,customers!$A$1:$A$1001,customers!$B$1:$B$1001,,0)</f>
        <v>Reamonn Aynold</v>
      </c>
      <c r="G561" s="2" t="str">
        <f>IF(_xlfn.XLOOKUP(orders!C561,customers!$A$1:$A$1001,customers!$C$1:$C$1001,,0)=0,"",_xlfn.XLOOKUP(orders!C561,customers!$A$1:$A$1001,customers!$C$1:$C$1001,,0))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6">
        <f t="shared" si="24"/>
        <v>38.849999999999994</v>
      </c>
      <c r="N561" t="str">
        <f t="shared" si="25"/>
        <v>Arabica</v>
      </c>
      <c r="O561"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f>_xlfn.XLOOKUP(orders!C562,customers!$A$1:$A$1001,customers!$B$1:$B$1001,,0)</f>
        <v>Hatty Dovydenas</v>
      </c>
      <c r="G562" s="2" t="str">
        <f>IF(_xlfn.XLOOKUP(orders!C562,customers!$A$1:$A$1001,customers!$C$1:$C$1001,,0)=0,"",_xlfn.XLOOKUP(orders!C562,customers!$A$1:$A$1001,customers!$C$1:$C$1001,,0))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6">
        <f t="shared" si="24"/>
        <v>189.74999999999997</v>
      </c>
      <c r="N562" t="str">
        <f t="shared" si="25"/>
        <v>Excelsa</v>
      </c>
      <c r="O56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f>_xlfn.XLOOKUP(orders!C563,customers!$A$1:$A$1001,customers!$B$1:$B$1001,,0)</f>
        <v>Nathaniel Bloxland</v>
      </c>
      <c r="G563" s="2" t="str">
        <f>IF(_xlfn.XLOOKUP(orders!C563,customers!$A$1:$A$1001,customers!$C$1:$C$1001,,0)=0,"",_xlfn.XLOOKUP(orders!C563,customers!$A$1:$A$1001,customers!$C$1:$C$1001,,0))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6">
        <f t="shared" si="24"/>
        <v>17.91</v>
      </c>
      <c r="N563" t="str">
        <f t="shared" si="25"/>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_xlfn.XLOOKUP(orders!C564,customers!$A$1:$A$1001,customers!$B$1:$B$1001,,0)</f>
        <v>Brendan Grece</v>
      </c>
      <c r="G564" s="2" t="str">
        <f>IF(_xlfn.XLOOKUP(orders!C564,customers!$A$1:$A$1001,customers!$C$1:$C$1001,,0)=0,"",_xlfn.XLOOKUP(orders!C564,customers!$A$1:$A$1001,customers!$C$1:$C$1001,,0))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6">
        <f t="shared" si="24"/>
        <v>28.53</v>
      </c>
      <c r="N564" t="str">
        <f t="shared" si="25"/>
        <v>Liberica</v>
      </c>
      <c r="O564"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f>_xlfn.XLOOKUP(orders!C565,customers!$A$1:$A$1001,customers!$B$1:$B$1001,,0)</f>
        <v>Don Flintiff</v>
      </c>
      <c r="G565" s="2" t="str">
        <f>IF(_xlfn.XLOOKUP(orders!C565,customers!$A$1:$A$1001,customers!$C$1:$C$1001,,0)=0,"",_xlfn.XLOOKUP(orders!C565,customers!$A$1:$A$1001,customers!$C$1:$C$1001,,0))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6">
        <f t="shared" si="24"/>
        <v>82.5</v>
      </c>
      <c r="N565" t="str">
        <f t="shared" si="25"/>
        <v>Excelsa</v>
      </c>
      <c r="O565"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f>_xlfn.XLOOKUP(orders!C566,customers!$A$1:$A$1001,customers!$B$1:$B$1001,,0)</f>
        <v>Abbe Thys</v>
      </c>
      <c r="G566" s="2" t="str">
        <f>IF(_xlfn.XLOOKUP(orders!C566,customers!$A$1:$A$1001,customers!$C$1:$C$1001,,0)=0,"",_xlfn.XLOOKUP(orders!C566,customers!$A$1:$A$1001,customers!$C$1:$C$1001,,0))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6">
        <f t="shared" si="24"/>
        <v>14.339999999999998</v>
      </c>
      <c r="N566" t="str">
        <f t="shared" si="25"/>
        <v>Robusta</v>
      </c>
      <c r="O566"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f>_xlfn.XLOOKUP(orders!C567,customers!$A$1:$A$1001,customers!$B$1:$B$1001,,0)</f>
        <v>Jackquelin Chugg</v>
      </c>
      <c r="G567" s="2" t="str">
        <f>IF(_xlfn.XLOOKUP(orders!C567,customers!$A$1:$A$1001,customers!$C$1:$C$1001,,0)=0,"",_xlfn.XLOOKUP(orders!C567,customers!$A$1:$A$1001,customers!$C$1:$C$1001,,0))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6">
        <f t="shared" si="24"/>
        <v>82.339999999999989</v>
      </c>
      <c r="N567" t="str">
        <f t="shared" si="25"/>
        <v>Robusta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_xlfn.XLOOKUP(orders!C568,customers!$A$1:$A$1001,customers!$B$1:$B$1001,,0)</f>
        <v>Audra Kelston</v>
      </c>
      <c r="G568" s="2" t="str">
        <f>IF(_xlfn.XLOOKUP(orders!C568,customers!$A$1:$A$1001,customers!$C$1:$C$1001,,0)=0,"",_xlfn.XLOOKUP(orders!C568,customers!$A$1:$A$1001,customers!$C$1:$C$1001,,0))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6">
        <f t="shared" si="24"/>
        <v>20.25</v>
      </c>
      <c r="N568" t="str">
        <f t="shared" si="25"/>
        <v>Arabica</v>
      </c>
      <c r="O568"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f>_xlfn.XLOOKUP(orders!C569,customers!$A$1:$A$1001,customers!$B$1:$B$1001,,0)</f>
        <v>Elvina Angel</v>
      </c>
      <c r="G569" s="2" t="str">
        <f>IF(_xlfn.XLOOKUP(orders!C569,customers!$A$1:$A$1001,customers!$C$1:$C$1001,,0)=0,"",_xlfn.XLOOKUP(orders!C569,customers!$A$1:$A$1001,customers!$C$1:$C$1001,,0))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6">
        <f t="shared" si="24"/>
        <v>164.90999999999997</v>
      </c>
      <c r="N569" t="str">
        <f t="shared" si="25"/>
        <v>Robusta</v>
      </c>
      <c r="O569"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f>_xlfn.XLOOKUP(orders!C570,customers!$A$1:$A$1001,customers!$B$1:$B$1001,,0)</f>
        <v>Claiborne Mottram</v>
      </c>
      <c r="G570" s="2" t="str">
        <f>IF(_xlfn.XLOOKUP(orders!C570,customers!$A$1:$A$1001,customers!$C$1:$C$1001,,0)=0,"",_xlfn.XLOOKUP(orders!C570,customers!$A$1:$A$1001,customers!$C$1:$C$1001,,0))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6">
        <f t="shared" si="24"/>
        <v>19.02</v>
      </c>
      <c r="N570" t="str">
        <f t="shared" si="25"/>
        <v>Liberica</v>
      </c>
      <c r="O570"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f>_xlfn.XLOOKUP(orders!C571,customers!$A$1:$A$1001,customers!$B$1:$B$1001,,0)</f>
        <v>Don Flintiff</v>
      </c>
      <c r="G571" s="2" t="str">
        <f>IF(_xlfn.XLOOKUP(orders!C571,customers!$A$1:$A$1001,customers!$C$1:$C$1001,,0)=0,"",_xlfn.XLOOKUP(orders!C571,customers!$A$1:$A$1001,customers!$C$1:$C$1001,,0))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6">
        <f t="shared" si="24"/>
        <v>137.31</v>
      </c>
      <c r="N571" t="str">
        <f t="shared" si="25"/>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_xlfn.XLOOKUP(orders!C572,customers!$A$1:$A$1001,customers!$B$1:$B$1001,,0)</f>
        <v>Donalt Sangwin</v>
      </c>
      <c r="G572" s="2" t="str">
        <f>IF(_xlfn.XLOOKUP(orders!C572,customers!$A$1:$A$1001,customers!$C$1:$C$1001,,0)=0,"",_xlfn.XLOOKUP(orders!C572,customers!$A$1:$A$1001,customers!$C$1:$C$1001,,0))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6">
        <f t="shared" si="24"/>
        <v>27</v>
      </c>
      <c r="N572" t="str">
        <f t="shared" si="25"/>
        <v>Arabica</v>
      </c>
      <c r="O57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f>_xlfn.XLOOKUP(orders!C573,customers!$A$1:$A$1001,customers!$B$1:$B$1001,,0)</f>
        <v>Elizabet Aizikowitz</v>
      </c>
      <c r="G573" s="2" t="str">
        <f>IF(_xlfn.XLOOKUP(orders!C573,customers!$A$1:$A$1001,customers!$C$1:$C$1001,,0)=0,"",_xlfn.XLOOKUP(orders!C573,customers!$A$1:$A$1001,customers!$C$1:$C$1001,,0))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6">
        <f t="shared" si="24"/>
        <v>35.64</v>
      </c>
      <c r="N573" t="str">
        <f t="shared" si="25"/>
        <v>Excelsa</v>
      </c>
      <c r="O573"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f>_xlfn.XLOOKUP(orders!C574,customers!$A$1:$A$1001,customers!$B$1:$B$1001,,0)</f>
        <v>Herbie Peppard</v>
      </c>
      <c r="G574" s="2" t="str">
        <f>IF(_xlfn.XLOOKUP(orders!C574,customers!$A$1:$A$1001,customers!$C$1:$C$1001,,0)=0,"",_xlfn.XLOOKUP(orders!C574,customers!$A$1:$A$1001,customers!$C$1:$C$1001,,0))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6">
        <f t="shared" si="24"/>
        <v>5.97</v>
      </c>
      <c r="N574" t="str">
        <f t="shared" si="25"/>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_xlfn.XLOOKUP(orders!C575,customers!$A$1:$A$1001,customers!$B$1:$B$1001,,0)</f>
        <v>Cornie Venour</v>
      </c>
      <c r="G575" s="2" t="str">
        <f>IF(_xlfn.XLOOKUP(orders!C575,customers!$A$1:$A$1001,customers!$C$1:$C$1001,,0)=0,"",_xlfn.XLOOKUP(orders!C575,customers!$A$1:$A$1001,customers!$C$1:$C$1001,,0))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6">
        <f t="shared" si="24"/>
        <v>67.5</v>
      </c>
      <c r="N575" t="str">
        <f t="shared" si="25"/>
        <v>Arabica</v>
      </c>
      <c r="O575"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f>_xlfn.XLOOKUP(orders!C576,customers!$A$1:$A$1001,customers!$B$1:$B$1001,,0)</f>
        <v>Maggy Harby</v>
      </c>
      <c r="G576" s="2" t="str">
        <f>IF(_xlfn.XLOOKUP(orders!C576,customers!$A$1:$A$1001,customers!$C$1:$C$1001,,0)=0,"",_xlfn.XLOOKUP(orders!C576,customers!$A$1:$A$1001,customers!$C$1:$C$1001,,0))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6">
        <f t="shared" si="24"/>
        <v>21.509999999999998</v>
      </c>
      <c r="N576" t="str">
        <f t="shared" si="25"/>
        <v>Robusta</v>
      </c>
      <c r="O576"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f>_xlfn.XLOOKUP(orders!C577,customers!$A$1:$A$1001,customers!$B$1:$B$1001,,0)</f>
        <v>Reggie Thickpenny</v>
      </c>
      <c r="G577" s="2" t="str">
        <f>IF(_xlfn.XLOOKUP(orders!C577,customers!$A$1:$A$1001,customers!$C$1:$C$1001,,0)=0,"",_xlfn.XLOOKUP(orders!C577,customers!$A$1:$A$1001,customers!$C$1:$C$1001,,0))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6">
        <f t="shared" si="24"/>
        <v>66.929999999999993</v>
      </c>
      <c r="N577" t="str">
        <f t="shared" si="25"/>
        <v>Liberica</v>
      </c>
      <c r="O577"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f>_xlfn.XLOOKUP(orders!C578,customers!$A$1:$A$1001,customers!$B$1:$B$1001,,0)</f>
        <v>Phyllys Ormerod</v>
      </c>
      <c r="G578" s="2" t="str">
        <f>IF(_xlfn.XLOOKUP(orders!C578,customers!$A$1:$A$1001,customers!$C$1:$C$1001,,0)=0,"",_xlfn.XLOOKUP(orders!C578,customers!$A$1:$A$1001,customers!$C$1:$C$1001,,0))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6">
        <f t="shared" si="24"/>
        <v>17.91</v>
      </c>
      <c r="N578" t="str">
        <f t="shared" si="25"/>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_xlfn.XLOOKUP(orders!C579,customers!$A$1:$A$1001,customers!$B$1:$B$1001,,0)</f>
        <v>Don Flintiff</v>
      </c>
      <c r="G579" s="2" t="str">
        <f>IF(_xlfn.XLOOKUP(orders!C579,customers!$A$1:$A$1001,customers!$C$1:$C$1001,,0)=0,"",_xlfn.XLOOKUP(orders!C579,customers!$A$1:$A$1001,customers!$C$1:$C$1001,,0))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6">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_xlfn.XLOOKUP(orders!C580,customers!$A$1:$A$1001,customers!$B$1:$B$1001,,0)</f>
        <v>Tymon Zanetti</v>
      </c>
      <c r="G580" s="2" t="str">
        <f>IF(_xlfn.XLOOKUP(orders!C580,customers!$A$1:$A$1001,customers!$C$1:$C$1001,,0)=0,"",_xlfn.XLOOKUP(orders!C580,customers!$A$1:$A$1001,customers!$C$1:$C$1001,,0))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6">
        <f t="shared" si="27"/>
        <v>13.365</v>
      </c>
      <c r="N580" t="str">
        <f t="shared" si="28"/>
        <v>Excelsa</v>
      </c>
      <c r="O580"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f>_xlfn.XLOOKUP(orders!C581,customers!$A$1:$A$1001,customers!$B$1:$B$1001,,0)</f>
        <v>Tymon Zanetti</v>
      </c>
      <c r="G581" s="2" t="str">
        <f>IF(_xlfn.XLOOKUP(orders!C581,customers!$A$1:$A$1001,customers!$C$1:$C$1001,,0)=0,"",_xlfn.XLOOKUP(orders!C581,customers!$A$1:$A$1001,customers!$C$1:$C$1001,,0))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6">
        <f t="shared" si="27"/>
        <v>33.75</v>
      </c>
      <c r="N581" t="str">
        <f t="shared" si="28"/>
        <v>Arabica</v>
      </c>
      <c r="O581"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f>_xlfn.XLOOKUP(orders!C582,customers!$A$1:$A$1001,customers!$B$1:$B$1001,,0)</f>
        <v>Reinaldos Kirtley</v>
      </c>
      <c r="G582" s="2" t="str">
        <f>IF(_xlfn.XLOOKUP(orders!C582,customers!$A$1:$A$1001,customers!$C$1:$C$1001,,0)=0,"",_xlfn.XLOOKUP(orders!C582,customers!$A$1:$A$1001,customers!$C$1:$C$1001,,0))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6">
        <f t="shared" si="27"/>
        <v>44.55</v>
      </c>
      <c r="N582" t="str">
        <f t="shared" si="28"/>
        <v>Excelsa</v>
      </c>
      <c r="O58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f>_xlfn.XLOOKUP(orders!C583,customers!$A$1:$A$1001,customers!$B$1:$B$1001,,0)</f>
        <v>Carney Clemencet</v>
      </c>
      <c r="G583" s="2" t="str">
        <f>IF(_xlfn.XLOOKUP(orders!C583,customers!$A$1:$A$1001,customers!$C$1:$C$1001,,0)=0,"",_xlfn.XLOOKUP(orders!C583,customers!$A$1:$A$1001,customers!$C$1:$C$1001,,0))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6">
        <f t="shared" si="27"/>
        <v>44.55</v>
      </c>
      <c r="N583" t="str">
        <f t="shared" si="28"/>
        <v>Excelsa</v>
      </c>
      <c r="O583"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f>_xlfn.XLOOKUP(orders!C584,customers!$A$1:$A$1001,customers!$B$1:$B$1001,,0)</f>
        <v>Russell Donet</v>
      </c>
      <c r="G584" s="2" t="str">
        <f>IF(_xlfn.XLOOKUP(orders!C584,customers!$A$1:$A$1001,customers!$C$1:$C$1001,,0)=0,"",_xlfn.XLOOKUP(orders!C584,customers!$A$1:$A$1001,customers!$C$1:$C$1001,,0))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6">
        <f t="shared" si="27"/>
        <v>60.75</v>
      </c>
      <c r="N584" t="str">
        <f t="shared" si="28"/>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_xlfn.XLOOKUP(orders!C585,customers!$A$1:$A$1001,customers!$B$1:$B$1001,,0)</f>
        <v>Sidney Gawen</v>
      </c>
      <c r="G585" s="2" t="str">
        <f>IF(_xlfn.XLOOKUP(orders!C585,customers!$A$1:$A$1001,customers!$C$1:$C$1001,,0)=0,"",_xlfn.XLOOKUP(orders!C585,customers!$A$1:$A$1001,customers!$C$1:$C$1001,,0))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6">
        <f t="shared" si="27"/>
        <v>3.5849999999999995</v>
      </c>
      <c r="N585" t="str">
        <f t="shared" si="28"/>
        <v>Robusta</v>
      </c>
      <c r="O585"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f>_xlfn.XLOOKUP(orders!C586,customers!$A$1:$A$1001,customers!$B$1:$B$1001,,0)</f>
        <v>Rickey Readie</v>
      </c>
      <c r="G586" s="2" t="str">
        <f>IF(_xlfn.XLOOKUP(orders!C586,customers!$A$1:$A$1001,customers!$C$1:$C$1001,,0)=0,"",_xlfn.XLOOKUP(orders!C586,customers!$A$1:$A$1001,customers!$C$1:$C$1001,,0))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6">
        <f t="shared" si="27"/>
        <v>21.509999999999998</v>
      </c>
      <c r="N586" t="str">
        <f t="shared" si="28"/>
        <v>Robusta</v>
      </c>
      <c r="O586"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f>_xlfn.XLOOKUP(orders!C587,customers!$A$1:$A$1001,customers!$B$1:$B$1001,,0)</f>
        <v>Cody Verissimo</v>
      </c>
      <c r="G587" s="2" t="str">
        <f>IF(_xlfn.XLOOKUP(orders!C587,customers!$A$1:$A$1001,customers!$C$1:$C$1001,,0)=0,"",_xlfn.XLOOKUP(orders!C587,customers!$A$1:$A$1001,customers!$C$1:$C$1001,,0))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6">
        <f t="shared" si="27"/>
        <v>16.5</v>
      </c>
      <c r="N587" t="str">
        <f t="shared" si="28"/>
        <v>Excelsa</v>
      </c>
      <c r="O587"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_xlfn.XLOOKUP(orders!C588,customers!$A$1:$A$1001,customers!$B$1:$B$1001,,0)</f>
        <v>Zilvia Claisse</v>
      </c>
      <c r="G588" s="2" t="str">
        <f>IF(_xlfn.XLOOKUP(orders!C588,customers!$A$1:$A$1001,customers!$C$1:$C$1001,,0)=0,"",_xlfn.XLOOKUP(orders!C588,customers!$A$1:$A$1001,customers!$C$1:$C$1001,,0))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6">
        <f t="shared" si="27"/>
        <v>82.454999999999984</v>
      </c>
      <c r="N588" t="str">
        <f t="shared" si="28"/>
        <v>Robusta</v>
      </c>
      <c r="O588"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f>_xlfn.XLOOKUP(orders!C589,customers!$A$1:$A$1001,customers!$B$1:$B$1001,,0)</f>
        <v>Bar O' Mahony</v>
      </c>
      <c r="G589" s="2" t="str">
        <f>IF(_xlfn.XLOOKUP(orders!C589,customers!$A$1:$A$1001,customers!$C$1:$C$1001,,0)=0,"",_xlfn.XLOOKUP(orders!C589,customers!$A$1:$A$1001,customers!$C$1:$C$1001,,0))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6">
        <f t="shared" si="27"/>
        <v>7.77</v>
      </c>
      <c r="N589" t="str">
        <f t="shared" si="28"/>
        <v>Liberica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_xlfn.XLOOKUP(orders!C590,customers!$A$1:$A$1001,customers!$B$1:$B$1001,,0)</f>
        <v>Valenka Stansbury</v>
      </c>
      <c r="G590" s="2" t="str">
        <f>IF(_xlfn.XLOOKUP(orders!C590,customers!$A$1:$A$1001,customers!$C$1:$C$1001,,0)=0,"",_xlfn.XLOOKUP(orders!C590,customers!$A$1:$A$1001,customers!$C$1:$C$1001,,0))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6">
        <f t="shared" si="27"/>
        <v>11.94</v>
      </c>
      <c r="N590" t="str">
        <f t="shared" si="28"/>
        <v>Robusta</v>
      </c>
      <c r="O590"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_xlfn.XLOOKUP(orders!C591,customers!$A$1:$A$1001,customers!$B$1:$B$1001,,0)</f>
        <v>Daniel Heinonen</v>
      </c>
      <c r="G591" s="2" t="str">
        <f>IF(_xlfn.XLOOKUP(orders!C591,customers!$A$1:$A$1001,customers!$C$1:$C$1001,,0)=0,"",_xlfn.XLOOKUP(orders!C591,customers!$A$1:$A$1001,customers!$C$1:$C$1001,,0))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6">
        <f t="shared" si="27"/>
        <v>204.92999999999995</v>
      </c>
      <c r="N591" t="str">
        <f t="shared" si="28"/>
        <v>Excelsa</v>
      </c>
      <c r="O591"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f>_xlfn.XLOOKUP(orders!C592,customers!$A$1:$A$1001,customers!$B$1:$B$1001,,0)</f>
        <v>Jewelle Shenton</v>
      </c>
      <c r="G592" s="2" t="str">
        <f>IF(_xlfn.XLOOKUP(orders!C592,customers!$A$1:$A$1001,customers!$C$1:$C$1001,,0)=0,"",_xlfn.XLOOKUP(orders!C592,customers!$A$1:$A$1001,customers!$C$1:$C$1001,,0))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6">
        <f t="shared" si="27"/>
        <v>63.249999999999993</v>
      </c>
      <c r="N592" t="str">
        <f t="shared" si="28"/>
        <v>Excelsa</v>
      </c>
      <c r="O59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_xlfn.XLOOKUP(orders!C593,customers!$A$1:$A$1001,customers!$B$1:$B$1001,,0)</f>
        <v>Jennifer Wilkisson</v>
      </c>
      <c r="G593" s="2" t="str">
        <f>IF(_xlfn.XLOOKUP(orders!C593,customers!$A$1:$A$1001,customers!$C$1:$C$1001,,0)=0,"",_xlfn.XLOOKUP(orders!C593,customers!$A$1:$A$1001,customers!$C$1:$C$1001,,0))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6">
        <f t="shared" si="27"/>
        <v>8.0549999999999997</v>
      </c>
      <c r="N593" t="str">
        <f t="shared" si="28"/>
        <v>Robusta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_xlfn.XLOOKUP(orders!C594,customers!$A$1:$A$1001,customers!$B$1:$B$1001,,0)</f>
        <v>Kylie Mowat</v>
      </c>
      <c r="G594" s="2" t="str">
        <f>IF(_xlfn.XLOOKUP(orders!C594,customers!$A$1:$A$1001,customers!$C$1:$C$1001,,0)=0,"",_xlfn.XLOOKUP(orders!C594,customers!$A$1:$A$1001,customers!$C$1:$C$1001,,0))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6">
        <f t="shared" si="27"/>
        <v>51.749999999999993</v>
      </c>
      <c r="N594" t="str">
        <f t="shared" si="28"/>
        <v>Arabica</v>
      </c>
      <c r="O594"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f>_xlfn.XLOOKUP(orders!C595,customers!$A$1:$A$1001,customers!$B$1:$B$1001,,0)</f>
        <v>Cody Verissimo</v>
      </c>
      <c r="G595" s="2" t="str">
        <f>IF(_xlfn.XLOOKUP(orders!C595,customers!$A$1:$A$1001,customers!$C$1:$C$1001,,0)=0,"",_xlfn.XLOOKUP(orders!C595,customers!$A$1:$A$1001,customers!$C$1:$C$1001,,0))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6">
        <f t="shared" si="27"/>
        <v>27.945</v>
      </c>
      <c r="N595" t="str">
        <f t="shared" si="28"/>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_xlfn.XLOOKUP(orders!C596,customers!$A$1:$A$1001,customers!$B$1:$B$1001,,0)</f>
        <v>Gabriel Starcks</v>
      </c>
      <c r="G596" s="2" t="str">
        <f>IF(_xlfn.XLOOKUP(orders!C596,customers!$A$1:$A$1001,customers!$C$1:$C$1001,,0)=0,"",_xlfn.XLOOKUP(orders!C596,customers!$A$1:$A$1001,customers!$C$1:$C$1001,,0))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6">
        <f t="shared" si="27"/>
        <v>59.569999999999993</v>
      </c>
      <c r="N596" t="str">
        <f t="shared" si="28"/>
        <v>Arabica</v>
      </c>
      <c r="O596"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f>_xlfn.XLOOKUP(orders!C597,customers!$A$1:$A$1001,customers!$B$1:$B$1001,,0)</f>
        <v>Darby Dummer</v>
      </c>
      <c r="G597" s="2" t="str">
        <f>IF(_xlfn.XLOOKUP(orders!C597,customers!$A$1:$A$1001,customers!$C$1:$C$1001,,0)=0,"",_xlfn.XLOOKUP(orders!C597,customers!$A$1:$A$1001,customers!$C$1:$C$1001,,0))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6">
        <f t="shared" si="27"/>
        <v>14.85</v>
      </c>
      <c r="N597" t="str">
        <f t="shared" si="28"/>
        <v>Excelsa</v>
      </c>
      <c r="O597"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f>_xlfn.XLOOKUP(orders!C598,customers!$A$1:$A$1001,customers!$B$1:$B$1001,,0)</f>
        <v>Kienan Scholard</v>
      </c>
      <c r="G598" s="2" t="str">
        <f>IF(_xlfn.XLOOKUP(orders!C598,customers!$A$1:$A$1001,customers!$C$1:$C$1001,,0)=0,"",_xlfn.XLOOKUP(orders!C598,customers!$A$1:$A$1001,customers!$C$1:$C$1001,,0))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6">
        <f t="shared" si="27"/>
        <v>33.75</v>
      </c>
      <c r="N598" t="str">
        <f t="shared" si="28"/>
        <v>Arabica</v>
      </c>
      <c r="O598"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f>_xlfn.XLOOKUP(orders!C599,customers!$A$1:$A$1001,customers!$B$1:$B$1001,,0)</f>
        <v>Bo Kindley</v>
      </c>
      <c r="G599" s="2" t="str">
        <f>IF(_xlfn.XLOOKUP(orders!C599,customers!$A$1:$A$1001,customers!$C$1:$C$1001,,0)=0,"",_xlfn.XLOOKUP(orders!C599,customers!$A$1:$A$1001,customers!$C$1:$C$1001,,0))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6">
        <f t="shared" si="27"/>
        <v>145.82</v>
      </c>
      <c r="N599" t="str">
        <f t="shared" si="28"/>
        <v>Liberica</v>
      </c>
      <c r="O599"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f>_xlfn.XLOOKUP(orders!C600,customers!$A$1:$A$1001,customers!$B$1:$B$1001,,0)</f>
        <v>Krissie Hammett</v>
      </c>
      <c r="G600" s="2" t="str">
        <f>IF(_xlfn.XLOOKUP(orders!C600,customers!$A$1:$A$1001,customers!$C$1:$C$1001,,0)=0,"",_xlfn.XLOOKUP(orders!C600,customers!$A$1:$A$1001,customers!$C$1:$C$1001,,0))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6">
        <f t="shared" si="27"/>
        <v>11.94</v>
      </c>
      <c r="N600" t="str">
        <f t="shared" si="28"/>
        <v>Robusta</v>
      </c>
      <c r="O600"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_xlfn.XLOOKUP(orders!C601,customers!$A$1:$A$1001,customers!$B$1:$B$1001,,0)</f>
        <v>Alisha Hulburt</v>
      </c>
      <c r="G601" s="2" t="str">
        <f>IF(_xlfn.XLOOKUP(orders!C601,customers!$A$1:$A$1001,customers!$C$1:$C$1001,,0)=0,"",_xlfn.XLOOKUP(orders!C601,customers!$A$1:$A$1001,customers!$C$1:$C$1001,,0))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6">
        <f t="shared" si="27"/>
        <v>11.94</v>
      </c>
      <c r="N601" t="str">
        <f t="shared" si="28"/>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_xlfn.XLOOKUP(orders!C602,customers!$A$1:$A$1001,customers!$B$1:$B$1001,,0)</f>
        <v>Peyter Lauritzen</v>
      </c>
      <c r="G602" s="2" t="str">
        <f>IF(_xlfn.XLOOKUP(orders!C602,customers!$A$1:$A$1001,customers!$C$1:$C$1001,,0)=0,"",_xlfn.XLOOKUP(orders!C602,customers!$A$1:$A$1001,customers!$C$1:$C$1001,,0))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6">
        <f t="shared" si="27"/>
        <v>7.77</v>
      </c>
      <c r="N602" t="str">
        <f t="shared" si="28"/>
        <v>Liberica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_xlfn.XLOOKUP(orders!C603,customers!$A$1:$A$1001,customers!$B$1:$B$1001,,0)</f>
        <v>Aurelia Burgwin</v>
      </c>
      <c r="G603" s="2" t="str">
        <f>IF(_xlfn.XLOOKUP(orders!C603,customers!$A$1:$A$1001,customers!$C$1:$C$1001,,0)=0,"",_xlfn.XLOOKUP(orders!C603,customers!$A$1:$A$1001,customers!$C$1:$C$1001,,0))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6">
        <f t="shared" si="27"/>
        <v>109.93999999999998</v>
      </c>
      <c r="N603" t="str">
        <f t="shared" si="28"/>
        <v>Robusta</v>
      </c>
      <c r="O603"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f>_xlfn.XLOOKUP(orders!C604,customers!$A$1:$A$1001,customers!$B$1:$B$1001,,0)</f>
        <v>Emalee Rolin</v>
      </c>
      <c r="G604" s="2" t="str">
        <f>IF(_xlfn.XLOOKUP(orders!C604,customers!$A$1:$A$1001,customers!$C$1:$C$1001,,0)=0,"",_xlfn.XLOOKUP(orders!C604,customers!$A$1:$A$1001,customers!$C$1:$C$1001,,0))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6">
        <f t="shared" si="27"/>
        <v>22.274999999999999</v>
      </c>
      <c r="N604" t="str">
        <f t="shared" si="28"/>
        <v>Excelsa</v>
      </c>
      <c r="O604"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f>_xlfn.XLOOKUP(orders!C605,customers!$A$1:$A$1001,customers!$B$1:$B$1001,,0)</f>
        <v>Donavon Fowle</v>
      </c>
      <c r="G605" s="2" t="str">
        <f>IF(_xlfn.XLOOKUP(orders!C605,customers!$A$1:$A$1001,customers!$C$1:$C$1001,,0)=0,"",_xlfn.XLOOKUP(orders!C605,customers!$A$1:$A$1001,customers!$C$1:$C$1001,,0))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6">
        <f t="shared" si="27"/>
        <v>8.9550000000000001</v>
      </c>
      <c r="N605" t="str">
        <f t="shared" si="28"/>
        <v>Robusta</v>
      </c>
      <c r="O605"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f>_xlfn.XLOOKUP(orders!C606,customers!$A$1:$A$1001,customers!$B$1:$B$1001,,0)</f>
        <v>Jorge Bettison</v>
      </c>
      <c r="G606" s="2" t="str">
        <f>IF(_xlfn.XLOOKUP(orders!C606,customers!$A$1:$A$1001,customers!$C$1:$C$1001,,0)=0,"",_xlfn.XLOOKUP(orders!C606,customers!$A$1:$A$1001,customers!$C$1:$C$1001,,0))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6">
        <f t="shared" si="27"/>
        <v>119.13999999999999</v>
      </c>
      <c r="N606" t="str">
        <f t="shared" si="28"/>
        <v>Liberica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_xlfn.XLOOKUP(orders!C607,customers!$A$1:$A$1001,customers!$B$1:$B$1001,,0)</f>
        <v>Wang Powlesland</v>
      </c>
      <c r="G607" s="2" t="str">
        <f>IF(_xlfn.XLOOKUP(orders!C607,customers!$A$1:$A$1001,customers!$C$1:$C$1001,,0)=0,"",_xlfn.XLOOKUP(orders!C607,customers!$A$1:$A$1001,customers!$C$1:$C$1001,,0))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6">
        <f t="shared" si="27"/>
        <v>148.92499999999998</v>
      </c>
      <c r="N607" t="str">
        <f t="shared" si="28"/>
        <v>Arabica</v>
      </c>
      <c r="O607"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f>_xlfn.XLOOKUP(orders!C608,customers!$A$1:$A$1001,customers!$B$1:$B$1001,,0)</f>
        <v>Cody Verissimo</v>
      </c>
      <c r="G608" s="2" t="str">
        <f>IF(_xlfn.XLOOKUP(orders!C608,customers!$A$1:$A$1001,customers!$C$1:$C$1001,,0)=0,"",_xlfn.XLOOKUP(orders!C608,customers!$A$1:$A$1001,customers!$C$1:$C$1001,,0))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6">
        <f t="shared" si="27"/>
        <v>109.36499999999999</v>
      </c>
      <c r="N608" t="str">
        <f t="shared" si="28"/>
        <v>Liberica</v>
      </c>
      <c r="O608"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f>_xlfn.XLOOKUP(orders!C609,customers!$A$1:$A$1001,customers!$B$1:$B$1001,,0)</f>
        <v>Laurence Ellingham</v>
      </c>
      <c r="G609" s="2" t="str">
        <f>IF(_xlfn.XLOOKUP(orders!C609,customers!$A$1:$A$1001,customers!$C$1:$C$1001,,0)=0,"",_xlfn.XLOOKUP(orders!C609,customers!$A$1:$A$1001,customers!$C$1:$C$1001,,0))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6">
        <f t="shared" si="27"/>
        <v>3.645</v>
      </c>
      <c r="N609" t="str">
        <f t="shared" si="28"/>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_xlfn.XLOOKUP(orders!C610,customers!$A$1:$A$1001,customers!$B$1:$B$1001,,0)</f>
        <v>Billy Neiland</v>
      </c>
      <c r="G610" s="2" t="str">
        <f>IF(_xlfn.XLOOKUP(orders!C610,customers!$A$1:$A$1001,customers!$C$1:$C$1001,,0)=0,"",_xlfn.XLOOKUP(orders!C610,customers!$A$1:$A$1001,customers!$C$1:$C$1001,,0))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6">
        <f t="shared" si="27"/>
        <v>55.89</v>
      </c>
      <c r="N610" t="str">
        <f t="shared" si="28"/>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_xlfn.XLOOKUP(orders!C611,customers!$A$1:$A$1001,customers!$B$1:$B$1001,,0)</f>
        <v>Ancell Fendt</v>
      </c>
      <c r="G611" s="2" t="str">
        <f>IF(_xlfn.XLOOKUP(orders!C611,customers!$A$1:$A$1001,customers!$C$1:$C$1001,,0)=0,"",_xlfn.XLOOKUP(orders!C611,customers!$A$1:$A$1001,customers!$C$1:$C$1001,,0))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6">
        <f t="shared" si="27"/>
        <v>26.19</v>
      </c>
      <c r="N611" t="str">
        <f t="shared" si="28"/>
        <v>Liberica</v>
      </c>
      <c r="O611"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_xlfn.XLOOKUP(orders!C612,customers!$A$1:$A$1001,customers!$B$1:$B$1001,,0)</f>
        <v>Angelia Cleyburn</v>
      </c>
      <c r="G612" s="2" t="str">
        <f>IF(_xlfn.XLOOKUP(orders!C612,customers!$A$1:$A$1001,customers!$C$1:$C$1001,,0)=0,"",_xlfn.XLOOKUP(orders!C612,customers!$A$1:$A$1001,customers!$C$1:$C$1001,,0))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6">
        <f t="shared" si="27"/>
        <v>39.799999999999997</v>
      </c>
      <c r="N612" t="str">
        <f t="shared" si="28"/>
        <v>Robusta</v>
      </c>
      <c r="O61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f>_xlfn.XLOOKUP(orders!C613,customers!$A$1:$A$1001,customers!$B$1:$B$1001,,0)</f>
        <v>Temple Castiglione</v>
      </c>
      <c r="G613" s="2" t="str">
        <f>IF(_xlfn.XLOOKUP(orders!C613,customers!$A$1:$A$1001,customers!$C$1:$C$1001,,0)=0,"",_xlfn.XLOOKUP(orders!C613,customers!$A$1:$A$1001,customers!$C$1:$C$1001,,0))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6">
        <f t="shared" si="27"/>
        <v>68.309999999999988</v>
      </c>
      <c r="N613" t="str">
        <f t="shared" si="28"/>
        <v>Excelsa</v>
      </c>
      <c r="O613"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f>_xlfn.XLOOKUP(orders!C614,customers!$A$1:$A$1001,customers!$B$1:$B$1001,,0)</f>
        <v>Betti Lacasa</v>
      </c>
      <c r="G614" s="2" t="str">
        <f>IF(_xlfn.XLOOKUP(orders!C614,customers!$A$1:$A$1001,customers!$C$1:$C$1001,,0)=0,"",_xlfn.XLOOKUP(orders!C614,customers!$A$1:$A$1001,customers!$C$1:$C$1001,,0))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6">
        <f t="shared" si="27"/>
        <v>13.5</v>
      </c>
      <c r="N614" t="str">
        <f t="shared" si="28"/>
        <v>Arabica</v>
      </c>
      <c r="O614"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f>_xlfn.XLOOKUP(orders!C615,customers!$A$1:$A$1001,customers!$B$1:$B$1001,,0)</f>
        <v>Gunilla Lynch</v>
      </c>
      <c r="G615" s="2" t="str">
        <f>IF(_xlfn.XLOOKUP(orders!C615,customers!$A$1:$A$1001,customers!$C$1:$C$1001,,0)=0,"",_xlfn.XLOOKUP(orders!C615,customers!$A$1:$A$1001,customers!$C$1:$C$1001,,0))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6">
        <f t="shared" si="27"/>
        <v>5.97</v>
      </c>
      <c r="N615" t="str">
        <f t="shared" si="28"/>
        <v>Robusta</v>
      </c>
      <c r="O615"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f>_xlfn.XLOOKUP(orders!C616,customers!$A$1:$A$1001,customers!$B$1:$B$1001,,0)</f>
        <v>Cody Verissimo</v>
      </c>
      <c r="G616" s="2" t="str">
        <f>IF(_xlfn.XLOOKUP(orders!C616,customers!$A$1:$A$1001,customers!$C$1:$C$1001,,0)=0,"",_xlfn.XLOOKUP(orders!C616,customers!$A$1:$A$1001,customers!$C$1:$C$1001,,0))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6">
        <f t="shared" si="27"/>
        <v>29.849999999999998</v>
      </c>
      <c r="N616" t="str">
        <f t="shared" si="28"/>
        <v>Robusta</v>
      </c>
      <c r="O616"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_xlfn.XLOOKUP(orders!C617,customers!$A$1:$A$1001,customers!$B$1:$B$1001,,0)</f>
        <v>Shay Couronne</v>
      </c>
      <c r="G617" s="2" t="str">
        <f>IF(_xlfn.XLOOKUP(orders!C617,customers!$A$1:$A$1001,customers!$C$1:$C$1001,,0)=0,"",_xlfn.XLOOKUP(orders!C617,customers!$A$1:$A$1001,customers!$C$1:$C$1001,,0))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6">
        <f t="shared" si="27"/>
        <v>72.91</v>
      </c>
      <c r="N617" t="str">
        <f t="shared" si="28"/>
        <v>Liberica</v>
      </c>
      <c r="O617"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f>_xlfn.XLOOKUP(orders!C618,customers!$A$1:$A$1001,customers!$B$1:$B$1001,,0)</f>
        <v>Linus Flippelli</v>
      </c>
      <c r="G618" s="2" t="str">
        <f>IF(_xlfn.XLOOKUP(orders!C618,customers!$A$1:$A$1001,customers!$C$1:$C$1001,,0)=0,"",_xlfn.XLOOKUP(orders!C618,customers!$A$1:$A$1001,customers!$C$1:$C$1001,,0))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6">
        <f t="shared" si="27"/>
        <v>126.49999999999999</v>
      </c>
      <c r="N618" t="str">
        <f t="shared" si="28"/>
        <v>Excelsa</v>
      </c>
      <c r="O618"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f>_xlfn.XLOOKUP(orders!C619,customers!$A$1:$A$1001,customers!$B$1:$B$1001,,0)</f>
        <v>Rachelle Elizabeth</v>
      </c>
      <c r="G619" s="2" t="str">
        <f>IF(_xlfn.XLOOKUP(orders!C619,customers!$A$1:$A$1001,customers!$C$1:$C$1001,,0)=0,"",_xlfn.XLOOKUP(orders!C619,customers!$A$1:$A$1001,customers!$C$1:$C$1001,,0))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6">
        <f t="shared" si="27"/>
        <v>33.464999999999996</v>
      </c>
      <c r="N619" t="str">
        <f t="shared" si="28"/>
        <v>Liberica</v>
      </c>
      <c r="O619"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f>_xlfn.XLOOKUP(orders!C620,customers!$A$1:$A$1001,customers!$B$1:$B$1001,,0)</f>
        <v>Innis Renhard</v>
      </c>
      <c r="G620" s="2" t="str">
        <f>IF(_xlfn.XLOOKUP(orders!C620,customers!$A$1:$A$1001,customers!$C$1:$C$1001,,0)=0,"",_xlfn.XLOOKUP(orders!C620,customers!$A$1:$A$1001,customers!$C$1:$C$1001,,0))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6">
        <f t="shared" si="27"/>
        <v>72.900000000000006</v>
      </c>
      <c r="N620" t="str">
        <f t="shared" si="28"/>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_xlfn.XLOOKUP(orders!C621,customers!$A$1:$A$1001,customers!$B$1:$B$1001,,0)</f>
        <v>Winne Roche</v>
      </c>
      <c r="G621" s="2" t="str">
        <f>IF(_xlfn.XLOOKUP(orders!C621,customers!$A$1:$A$1001,customers!$C$1:$C$1001,,0)=0,"",_xlfn.XLOOKUP(orders!C621,customers!$A$1:$A$1001,customers!$C$1:$C$1001,,0))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6">
        <f t="shared" si="27"/>
        <v>15.54</v>
      </c>
      <c r="N621" t="str">
        <f t="shared" si="28"/>
        <v>Liberica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_xlfn.XLOOKUP(orders!C622,customers!$A$1:$A$1001,customers!$B$1:$B$1001,,0)</f>
        <v>Linn Alaway</v>
      </c>
      <c r="G622" s="2" t="str">
        <f>IF(_xlfn.XLOOKUP(orders!C622,customers!$A$1:$A$1001,customers!$C$1:$C$1001,,0)=0,"",_xlfn.XLOOKUP(orders!C622,customers!$A$1:$A$1001,customers!$C$1:$C$1001,,0))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6">
        <f t="shared" si="27"/>
        <v>20.25</v>
      </c>
      <c r="N622" t="str">
        <f t="shared" si="28"/>
        <v>Arabica</v>
      </c>
      <c r="O62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f>_xlfn.XLOOKUP(orders!C623,customers!$A$1:$A$1001,customers!$B$1:$B$1001,,0)</f>
        <v>Cordy Odgaard</v>
      </c>
      <c r="G623" s="2" t="str">
        <f>IF(_xlfn.XLOOKUP(orders!C623,customers!$A$1:$A$1001,customers!$C$1:$C$1001,,0)=0,"",_xlfn.XLOOKUP(orders!C623,customers!$A$1:$A$1001,customers!$C$1:$C$1001,,0))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6">
        <f t="shared" si="27"/>
        <v>77.699999999999989</v>
      </c>
      <c r="N623" t="str">
        <f t="shared" si="28"/>
        <v>Arabica</v>
      </c>
      <c r="O623"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f>_xlfn.XLOOKUP(orders!C624,customers!$A$1:$A$1001,customers!$B$1:$B$1001,,0)</f>
        <v>Bertine Byrd</v>
      </c>
      <c r="G624" s="2" t="str">
        <f>IF(_xlfn.XLOOKUP(orders!C624,customers!$A$1:$A$1001,customers!$C$1:$C$1001,,0)=0,"",_xlfn.XLOOKUP(orders!C624,customers!$A$1:$A$1001,customers!$C$1:$C$1001,,0))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6">
        <f t="shared" si="27"/>
        <v>133.85999999999999</v>
      </c>
      <c r="N624" t="str">
        <f t="shared" si="28"/>
        <v>Liberica</v>
      </c>
      <c r="O624"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f>_xlfn.XLOOKUP(orders!C625,customers!$A$1:$A$1001,customers!$B$1:$B$1001,,0)</f>
        <v>Nelie Garnson</v>
      </c>
      <c r="G625" s="2" t="str">
        <f>IF(_xlfn.XLOOKUP(orders!C625,customers!$A$1:$A$1001,customers!$C$1:$C$1001,,0)=0,"",_xlfn.XLOOKUP(orders!C625,customers!$A$1:$A$1001,customers!$C$1:$C$1001,,0))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6">
        <f t="shared" si="27"/>
        <v>12.15</v>
      </c>
      <c r="N625" t="str">
        <f t="shared" si="28"/>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_xlfn.XLOOKUP(orders!C626,customers!$A$1:$A$1001,customers!$B$1:$B$1001,,0)</f>
        <v>Dianne Chardin</v>
      </c>
      <c r="G626" s="2" t="str">
        <f>IF(_xlfn.XLOOKUP(orders!C626,customers!$A$1:$A$1001,customers!$C$1:$C$1001,,0)=0,"",_xlfn.XLOOKUP(orders!C626,customers!$A$1:$A$1001,customers!$C$1:$C$1001,,0))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6">
        <f t="shared" si="27"/>
        <v>63.249999999999993</v>
      </c>
      <c r="N626" t="str">
        <f t="shared" si="28"/>
        <v>Excelsa</v>
      </c>
      <c r="O626"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_xlfn.XLOOKUP(orders!C627,customers!$A$1:$A$1001,customers!$B$1:$B$1001,,0)</f>
        <v>Hailee Radbone</v>
      </c>
      <c r="G627" s="2" t="str">
        <f>IF(_xlfn.XLOOKUP(orders!C627,customers!$A$1:$A$1001,customers!$C$1:$C$1001,,0)=0,"",_xlfn.XLOOKUP(orders!C627,customers!$A$1:$A$1001,customers!$C$1:$C$1001,,0))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6">
        <f t="shared" si="27"/>
        <v>35.849999999999994</v>
      </c>
      <c r="N627" t="str">
        <f t="shared" si="28"/>
        <v>Robusta</v>
      </c>
      <c r="O627"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f>_xlfn.XLOOKUP(orders!C628,customers!$A$1:$A$1001,customers!$B$1:$B$1001,,0)</f>
        <v>Wallis Bernth</v>
      </c>
      <c r="G628" s="2" t="str">
        <f>IF(_xlfn.XLOOKUP(orders!C628,customers!$A$1:$A$1001,customers!$C$1:$C$1001,,0)=0,"",_xlfn.XLOOKUP(orders!C628,customers!$A$1:$A$1001,customers!$C$1:$C$1001,,0))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6">
        <f t="shared" si="27"/>
        <v>77.624999999999986</v>
      </c>
      <c r="N628" t="str">
        <f t="shared" si="28"/>
        <v>Arabica</v>
      </c>
      <c r="O628"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f>_xlfn.XLOOKUP(orders!C629,customers!$A$1:$A$1001,customers!$B$1:$B$1001,,0)</f>
        <v>Byron Acarson</v>
      </c>
      <c r="G629" s="2" t="str">
        <f>IF(_xlfn.XLOOKUP(orders!C629,customers!$A$1:$A$1001,customers!$C$1:$C$1001,,0)=0,"",_xlfn.XLOOKUP(orders!C629,customers!$A$1:$A$1001,customers!$C$1:$C$1001,,0))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6">
        <f t="shared" si="27"/>
        <v>63.249999999999993</v>
      </c>
      <c r="N629" t="str">
        <f t="shared" si="28"/>
        <v>Excelsa</v>
      </c>
      <c r="O629"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_xlfn.XLOOKUP(orders!C630,customers!$A$1:$A$1001,customers!$B$1:$B$1001,,0)</f>
        <v>Faunie Brigham</v>
      </c>
      <c r="G630" s="2" t="str">
        <f>IF(_xlfn.XLOOKUP(orders!C630,customers!$A$1:$A$1001,customers!$C$1:$C$1001,,0)=0,"",_xlfn.XLOOKUP(orders!C630,customers!$A$1:$A$1001,customers!$C$1:$C$1001,,0))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6">
        <f t="shared" si="27"/>
        <v>26.73</v>
      </c>
      <c r="N630" t="str">
        <f t="shared" si="28"/>
        <v>Excelsa</v>
      </c>
      <c r="O630"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f>_xlfn.XLOOKUP(orders!C631,customers!$A$1:$A$1001,customers!$B$1:$B$1001,,0)</f>
        <v>Faunie Brigham</v>
      </c>
      <c r="G631" s="2" t="str">
        <f>IF(_xlfn.XLOOKUP(orders!C631,customers!$A$1:$A$1001,customers!$C$1:$C$1001,,0)=0,"",_xlfn.XLOOKUP(orders!C631,customers!$A$1:$A$1001,customers!$C$1:$C$1001,,0))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6">
        <f t="shared" si="27"/>
        <v>31.08</v>
      </c>
      <c r="N631" t="str">
        <f t="shared" si="28"/>
        <v>Liberica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_xlfn.XLOOKUP(orders!C632,customers!$A$1:$A$1001,customers!$B$1:$B$1001,,0)</f>
        <v>Faunie Brigham</v>
      </c>
      <c r="G632" s="2" t="str">
        <f>IF(_xlfn.XLOOKUP(orders!C632,customers!$A$1:$A$1001,customers!$C$1:$C$1001,,0)=0,"",_xlfn.XLOOKUP(orders!C632,customers!$A$1:$A$1001,customers!$C$1:$C$1001,,0))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6">
        <f t="shared" si="27"/>
        <v>2.9849999999999999</v>
      </c>
      <c r="N632" t="str">
        <f t="shared" si="28"/>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_xlfn.XLOOKUP(orders!C633,customers!$A$1:$A$1001,customers!$B$1:$B$1001,,0)</f>
        <v>Faunie Brigham</v>
      </c>
      <c r="G633" s="2" t="str">
        <f>IF(_xlfn.XLOOKUP(orders!C633,customers!$A$1:$A$1001,customers!$C$1:$C$1001,,0)=0,"",_xlfn.XLOOKUP(orders!C633,customers!$A$1:$A$1001,customers!$C$1:$C$1001,,0))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6">
        <f t="shared" si="27"/>
        <v>102.92499999999998</v>
      </c>
      <c r="N633" t="str">
        <f t="shared" si="28"/>
        <v>Robusta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_xlfn.XLOOKUP(orders!C634,customers!$A$1:$A$1001,customers!$B$1:$B$1001,,0)</f>
        <v>Marjorie Yoxen</v>
      </c>
      <c r="G634" s="2" t="str">
        <f>IF(_xlfn.XLOOKUP(orders!C634,customers!$A$1:$A$1001,customers!$C$1:$C$1001,,0)=0,"",_xlfn.XLOOKUP(orders!C634,customers!$A$1:$A$1001,customers!$C$1:$C$1001,,0))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6">
        <f t="shared" si="27"/>
        <v>35.64</v>
      </c>
      <c r="N634" t="str">
        <f t="shared" si="28"/>
        <v>Excelsa</v>
      </c>
      <c r="O634"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f>_xlfn.XLOOKUP(orders!C635,customers!$A$1:$A$1001,customers!$B$1:$B$1001,,0)</f>
        <v>Gaspar McGavin</v>
      </c>
      <c r="G635" s="2" t="str">
        <f>IF(_xlfn.XLOOKUP(orders!C635,customers!$A$1:$A$1001,customers!$C$1:$C$1001,,0)=0,"",_xlfn.XLOOKUP(orders!C635,customers!$A$1:$A$1001,customers!$C$1:$C$1001,,0))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6">
        <f t="shared" si="27"/>
        <v>47.8</v>
      </c>
      <c r="N635" t="str">
        <f t="shared" si="28"/>
        <v>Robusta</v>
      </c>
      <c r="O635"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f>_xlfn.XLOOKUP(orders!C636,customers!$A$1:$A$1001,customers!$B$1:$B$1001,,0)</f>
        <v>Lindy Uttermare</v>
      </c>
      <c r="G636" s="2" t="str">
        <f>IF(_xlfn.XLOOKUP(orders!C636,customers!$A$1:$A$1001,customers!$C$1:$C$1001,,0)=0,"",_xlfn.XLOOKUP(orders!C636,customers!$A$1:$A$1001,customers!$C$1:$C$1001,,0))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6">
        <f t="shared" si="27"/>
        <v>43.650000000000006</v>
      </c>
      <c r="N636" t="str">
        <f t="shared" si="28"/>
        <v>Liberica</v>
      </c>
      <c r="O636"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f>_xlfn.XLOOKUP(orders!C637,customers!$A$1:$A$1001,customers!$B$1:$B$1001,,0)</f>
        <v>Eal D'Ambrogio</v>
      </c>
      <c r="G637" s="2" t="str">
        <f>IF(_xlfn.XLOOKUP(orders!C637,customers!$A$1:$A$1001,customers!$C$1:$C$1001,,0)=0,"",_xlfn.XLOOKUP(orders!C637,customers!$A$1:$A$1001,customers!$C$1:$C$1001,,0))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6">
        <f t="shared" si="27"/>
        <v>35.64</v>
      </c>
      <c r="N637" t="str">
        <f t="shared" si="28"/>
        <v>Excelsa</v>
      </c>
      <c r="O637"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f>_xlfn.XLOOKUP(orders!C638,customers!$A$1:$A$1001,customers!$B$1:$B$1001,,0)</f>
        <v>Carolee Winchcombe</v>
      </c>
      <c r="G638" s="2" t="str">
        <f>IF(_xlfn.XLOOKUP(orders!C638,customers!$A$1:$A$1001,customers!$C$1:$C$1001,,0)=0,"",_xlfn.XLOOKUP(orders!C638,customers!$A$1:$A$1001,customers!$C$1:$C$1001,,0))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6">
        <f t="shared" si="27"/>
        <v>95.1</v>
      </c>
      <c r="N638" t="str">
        <f t="shared" si="28"/>
        <v>Liberica</v>
      </c>
      <c r="O638"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f>_xlfn.XLOOKUP(orders!C639,customers!$A$1:$A$1001,customers!$B$1:$B$1001,,0)</f>
        <v>Benedikta Paumier</v>
      </c>
      <c r="G639" s="2" t="str">
        <f>IF(_xlfn.XLOOKUP(orders!C639,customers!$A$1:$A$1001,customers!$C$1:$C$1001,,0)=0,"",_xlfn.XLOOKUP(orders!C639,customers!$A$1:$A$1001,customers!$C$1:$C$1001,,0))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6">
        <f t="shared" si="27"/>
        <v>31.624999999999996</v>
      </c>
      <c r="N639" t="str">
        <f t="shared" si="28"/>
        <v>Excelsa</v>
      </c>
      <c r="O639"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_xlfn.XLOOKUP(orders!C640,customers!$A$1:$A$1001,customers!$B$1:$B$1001,,0)</f>
        <v>Neville Piatto</v>
      </c>
      <c r="G640" s="2" t="str">
        <f>IF(_xlfn.XLOOKUP(orders!C640,customers!$A$1:$A$1001,customers!$C$1:$C$1001,,0)=0,"",_xlfn.XLOOKUP(orders!C640,customers!$A$1:$A$1001,customers!$C$1:$C$1001,,0))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6">
        <f t="shared" si="27"/>
        <v>77.624999999999986</v>
      </c>
      <c r="N640" t="str">
        <f t="shared" si="28"/>
        <v>Arabica</v>
      </c>
      <c r="O640"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_xlfn.XLOOKUP(orders!C641,customers!$A$1:$A$1001,customers!$B$1:$B$1001,,0)</f>
        <v>Jeno Capey</v>
      </c>
      <c r="G641" s="2" t="str">
        <f>IF(_xlfn.XLOOKUP(orders!C641,customers!$A$1:$A$1001,customers!$C$1:$C$1001,,0)=0,"",_xlfn.XLOOKUP(orders!C641,customers!$A$1:$A$1001,customers!$C$1:$C$1001,,0))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6">
        <f t="shared" si="27"/>
        <v>3.8849999999999998</v>
      </c>
      <c r="N641" t="str">
        <f t="shared" si="28"/>
        <v>Liberica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_xlfn.XLOOKUP(orders!C642,customers!$A$1:$A$1001,customers!$B$1:$B$1001,,0)</f>
        <v>Tuckie Mathonnet</v>
      </c>
      <c r="G642" s="2" t="str">
        <f>IF(_xlfn.XLOOKUP(orders!C642,customers!$A$1:$A$1001,customers!$C$1:$C$1001,,0)=0,"",_xlfn.XLOOKUP(orders!C642,customers!$A$1:$A$1001,customers!$C$1:$C$1001,,0))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6">
        <f t="shared" si="27"/>
        <v>137.42499999999998</v>
      </c>
      <c r="N642" t="str">
        <f t="shared" si="28"/>
        <v>Robusta</v>
      </c>
      <c r="O64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f>_xlfn.XLOOKUP(orders!C643,customers!$A$1:$A$1001,customers!$B$1:$B$1001,,0)</f>
        <v>Yardley Basill</v>
      </c>
      <c r="G643" s="2" t="str">
        <f>IF(_xlfn.XLOOKUP(orders!C643,customers!$A$1:$A$1001,customers!$C$1:$C$1001,,0)=0,"",_xlfn.XLOOKUP(orders!C643,customers!$A$1:$A$1001,customers!$C$1:$C$1001,,0))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6">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_xlfn.XLOOKUP(orders!C644,customers!$A$1:$A$1001,customers!$B$1:$B$1001,,0)</f>
        <v>Maggy Baistow</v>
      </c>
      <c r="G644" s="2" t="str">
        <f>IF(_xlfn.XLOOKUP(orders!C644,customers!$A$1:$A$1001,customers!$C$1:$C$1001,,0)=0,"",_xlfn.XLOOKUP(orders!C644,customers!$A$1:$A$1001,customers!$C$1:$C$1001,,0))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6">
        <f t="shared" si="30"/>
        <v>8.25</v>
      </c>
      <c r="N644" t="str">
        <f t="shared" si="31"/>
        <v>Excelsa</v>
      </c>
      <c r="O644"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f>_xlfn.XLOOKUP(orders!C645,customers!$A$1:$A$1001,customers!$B$1:$B$1001,,0)</f>
        <v>Courtney Pallant</v>
      </c>
      <c r="G645" s="2" t="str">
        <f>IF(_xlfn.XLOOKUP(orders!C645,customers!$A$1:$A$1001,customers!$C$1:$C$1001,,0)=0,"",_xlfn.XLOOKUP(orders!C645,customers!$A$1:$A$1001,customers!$C$1:$C$1001,,0))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6">
        <f t="shared" si="30"/>
        <v>102.46499999999997</v>
      </c>
      <c r="N645" t="str">
        <f t="shared" si="31"/>
        <v>Excelsa</v>
      </c>
      <c r="O645"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f>_xlfn.XLOOKUP(orders!C646,customers!$A$1:$A$1001,customers!$B$1:$B$1001,,0)</f>
        <v>Marne Mingey</v>
      </c>
      <c r="G646" s="2" t="str">
        <f>IF(_xlfn.XLOOKUP(orders!C646,customers!$A$1:$A$1001,customers!$C$1:$C$1001,,0)=0,"",_xlfn.XLOOKUP(orders!C646,customers!$A$1:$A$1001,customers!$C$1:$C$1001,,0))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6">
        <f t="shared" si="30"/>
        <v>41.169999999999995</v>
      </c>
      <c r="N646" t="str">
        <f t="shared" si="31"/>
        <v>Robusta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_xlfn.XLOOKUP(orders!C647,customers!$A$1:$A$1001,customers!$B$1:$B$1001,,0)</f>
        <v>Denny O' Ronan</v>
      </c>
      <c r="G647" s="2" t="str">
        <f>IF(_xlfn.XLOOKUP(orders!C647,customers!$A$1:$A$1001,customers!$C$1:$C$1001,,0)=0,"",_xlfn.XLOOKUP(orders!C647,customers!$A$1:$A$1001,customers!$C$1:$C$1001,,0))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6">
        <f t="shared" si="30"/>
        <v>68.655000000000001</v>
      </c>
      <c r="N647" t="str">
        <f t="shared" si="31"/>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_xlfn.XLOOKUP(orders!C648,customers!$A$1:$A$1001,customers!$B$1:$B$1001,,0)</f>
        <v>Dottie Rallin</v>
      </c>
      <c r="G648" s="2" t="str">
        <f>IF(_xlfn.XLOOKUP(orders!C648,customers!$A$1:$A$1001,customers!$C$1:$C$1001,,0)=0,"",_xlfn.XLOOKUP(orders!C648,customers!$A$1:$A$1001,customers!$C$1:$C$1001,,0))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6">
        <f t="shared" si="30"/>
        <v>9.9499999999999993</v>
      </c>
      <c r="N648" t="str">
        <f t="shared" si="31"/>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_xlfn.XLOOKUP(orders!C649,customers!$A$1:$A$1001,customers!$B$1:$B$1001,,0)</f>
        <v>Ardith Chill</v>
      </c>
      <c r="G649" s="2" t="str">
        <f>IF(_xlfn.XLOOKUP(orders!C649,customers!$A$1:$A$1001,customers!$C$1:$C$1001,,0)=0,"",_xlfn.XLOOKUP(orders!C649,customers!$A$1:$A$1001,customers!$C$1:$C$1001,,0))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6">
        <f t="shared" si="30"/>
        <v>28.53</v>
      </c>
      <c r="N649" t="str">
        <f t="shared" si="31"/>
        <v>Liberica</v>
      </c>
      <c r="O649"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f>_xlfn.XLOOKUP(orders!C650,customers!$A$1:$A$1001,customers!$B$1:$B$1001,,0)</f>
        <v>Tuckie Mathonnet</v>
      </c>
      <c r="G650" s="2" t="str">
        <f>IF(_xlfn.XLOOKUP(orders!C650,customers!$A$1:$A$1001,customers!$C$1:$C$1001,,0)=0,"",_xlfn.XLOOKUP(orders!C650,customers!$A$1:$A$1001,customers!$C$1:$C$1001,,0))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6">
        <f t="shared" si="30"/>
        <v>16.11</v>
      </c>
      <c r="N650" t="str">
        <f t="shared" si="31"/>
        <v>Robusta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_xlfn.XLOOKUP(orders!C651,customers!$A$1:$A$1001,customers!$B$1:$B$1001,,0)</f>
        <v>Charmane Denys</v>
      </c>
      <c r="G651" s="2" t="str">
        <f>IF(_xlfn.XLOOKUP(orders!C651,customers!$A$1:$A$1001,customers!$C$1:$C$1001,,0)=0,"",_xlfn.XLOOKUP(orders!C651,customers!$A$1:$A$1001,customers!$C$1:$C$1001,,0))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6">
        <f t="shared" si="30"/>
        <v>95.1</v>
      </c>
      <c r="N651" t="str">
        <f t="shared" si="31"/>
        <v>Liberica</v>
      </c>
      <c r="O651"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f>_xlfn.XLOOKUP(orders!C652,customers!$A$1:$A$1001,customers!$B$1:$B$1001,,0)</f>
        <v>Cecily Stebbings</v>
      </c>
      <c r="G652" s="2" t="str">
        <f>IF(_xlfn.XLOOKUP(orders!C652,customers!$A$1:$A$1001,customers!$C$1:$C$1001,,0)=0,"",_xlfn.XLOOKUP(orders!C652,customers!$A$1:$A$1001,customers!$C$1:$C$1001,,0))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6">
        <f t="shared" si="30"/>
        <v>5.3699999999999992</v>
      </c>
      <c r="N652" t="str">
        <f t="shared" si="31"/>
        <v>Robusta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_xlfn.XLOOKUP(orders!C653,customers!$A$1:$A$1001,customers!$B$1:$B$1001,,0)</f>
        <v>Giana Tonnesen</v>
      </c>
      <c r="G653" s="2" t="str">
        <f>IF(_xlfn.XLOOKUP(orders!C653,customers!$A$1:$A$1001,customers!$C$1:$C$1001,,0)=0,"",_xlfn.XLOOKUP(orders!C653,customers!$A$1:$A$1001,customers!$C$1:$C$1001,,0))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6">
        <f t="shared" si="30"/>
        <v>47.8</v>
      </c>
      <c r="N653" t="str">
        <f t="shared" si="31"/>
        <v>Robusta</v>
      </c>
      <c r="O653"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f>_xlfn.XLOOKUP(orders!C654,customers!$A$1:$A$1001,customers!$B$1:$B$1001,,0)</f>
        <v>Rhetta Zywicki</v>
      </c>
      <c r="G654" s="2" t="str">
        <f>IF(_xlfn.XLOOKUP(orders!C654,customers!$A$1:$A$1001,customers!$C$1:$C$1001,,0)=0,"",_xlfn.XLOOKUP(orders!C654,customers!$A$1:$A$1001,customers!$C$1:$C$1001,,0))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6">
        <f t="shared" si="30"/>
        <v>63.4</v>
      </c>
      <c r="N654" t="str">
        <f t="shared" si="31"/>
        <v>Liberica</v>
      </c>
      <c r="O654"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f>_xlfn.XLOOKUP(orders!C655,customers!$A$1:$A$1001,customers!$B$1:$B$1001,,0)</f>
        <v>Almeria Burgett</v>
      </c>
      <c r="G655" s="2" t="str">
        <f>IF(_xlfn.XLOOKUP(orders!C655,customers!$A$1:$A$1001,customers!$C$1:$C$1001,,0)=0,"",_xlfn.XLOOKUP(orders!C655,customers!$A$1:$A$1001,customers!$C$1:$C$1001,,0))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6">
        <f t="shared" si="30"/>
        <v>103.49999999999999</v>
      </c>
      <c r="N655" t="str">
        <f t="shared" si="31"/>
        <v>Arabica</v>
      </c>
      <c r="O655"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f>_xlfn.XLOOKUP(orders!C656,customers!$A$1:$A$1001,customers!$B$1:$B$1001,,0)</f>
        <v>Marvin Malloy</v>
      </c>
      <c r="G656" s="2" t="str">
        <f>IF(_xlfn.XLOOKUP(orders!C656,customers!$A$1:$A$1001,customers!$C$1:$C$1001,,0)=0,"",_xlfn.XLOOKUP(orders!C656,customers!$A$1:$A$1001,customers!$C$1:$C$1001,,0))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6">
        <f t="shared" si="30"/>
        <v>68.655000000000001</v>
      </c>
      <c r="N656" t="str">
        <f t="shared" si="31"/>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_xlfn.XLOOKUP(orders!C657,customers!$A$1:$A$1001,customers!$B$1:$B$1001,,0)</f>
        <v>Maxim McParland</v>
      </c>
      <c r="G657" s="2" t="str">
        <f>IF(_xlfn.XLOOKUP(orders!C657,customers!$A$1:$A$1001,customers!$C$1:$C$1001,,0)=0,"",_xlfn.XLOOKUP(orders!C657,customers!$A$1:$A$1001,customers!$C$1:$C$1001,,0))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6">
        <f t="shared" si="30"/>
        <v>45.769999999999996</v>
      </c>
      <c r="N657" t="str">
        <f t="shared" si="31"/>
        <v>Robusta</v>
      </c>
      <c r="O657"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f>_xlfn.XLOOKUP(orders!C658,customers!$A$1:$A$1001,customers!$B$1:$B$1001,,0)</f>
        <v>Sylas Jennaroy</v>
      </c>
      <c r="G658" s="2" t="str">
        <f>IF(_xlfn.XLOOKUP(orders!C658,customers!$A$1:$A$1001,customers!$C$1:$C$1001,,0)=0,"",_xlfn.XLOOKUP(orders!C658,customers!$A$1:$A$1001,customers!$C$1:$C$1001,,0))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6">
        <f t="shared" si="30"/>
        <v>51.8</v>
      </c>
      <c r="N658" t="str">
        <f t="shared" si="31"/>
        <v>Liberica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_xlfn.XLOOKUP(orders!C659,customers!$A$1:$A$1001,customers!$B$1:$B$1001,,0)</f>
        <v>Wren Place</v>
      </c>
      <c r="G659" s="2" t="str">
        <f>IF(_xlfn.XLOOKUP(orders!C659,customers!$A$1:$A$1001,customers!$C$1:$C$1001,,0)=0,"",_xlfn.XLOOKUP(orders!C659,customers!$A$1:$A$1001,customers!$C$1:$C$1001,,0))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6">
        <f t="shared" si="30"/>
        <v>13.5</v>
      </c>
      <c r="N659" t="str">
        <f t="shared" si="31"/>
        <v>Arabica</v>
      </c>
      <c r="O659"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f>_xlfn.XLOOKUP(orders!C660,customers!$A$1:$A$1001,customers!$B$1:$B$1001,,0)</f>
        <v>Janella Millett</v>
      </c>
      <c r="G660" s="2" t="str">
        <f>IF(_xlfn.XLOOKUP(orders!C660,customers!$A$1:$A$1001,customers!$C$1:$C$1001,,0)=0,"",_xlfn.XLOOKUP(orders!C660,customers!$A$1:$A$1001,customers!$C$1:$C$1001,,0))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6">
        <f t="shared" si="30"/>
        <v>24.75</v>
      </c>
      <c r="N660" t="str">
        <f t="shared" si="31"/>
        <v>Excelsa</v>
      </c>
      <c r="O660"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f>_xlfn.XLOOKUP(orders!C661,customers!$A$1:$A$1001,customers!$B$1:$B$1001,,0)</f>
        <v>Dollie Gadsden</v>
      </c>
      <c r="G661" s="2" t="str">
        <f>IF(_xlfn.XLOOKUP(orders!C661,customers!$A$1:$A$1001,customers!$C$1:$C$1001,,0)=0,"",_xlfn.XLOOKUP(orders!C661,customers!$A$1:$A$1001,customers!$C$1:$C$1001,,0))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6">
        <f t="shared" si="30"/>
        <v>45.769999999999996</v>
      </c>
      <c r="N661" t="str">
        <f t="shared" si="31"/>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_xlfn.XLOOKUP(orders!C662,customers!$A$1:$A$1001,customers!$B$1:$B$1001,,0)</f>
        <v>Val Wakelin</v>
      </c>
      <c r="G662" s="2" t="str">
        <f>IF(_xlfn.XLOOKUP(orders!C662,customers!$A$1:$A$1001,customers!$C$1:$C$1001,,0)=0,"",_xlfn.XLOOKUP(orders!C662,customers!$A$1:$A$1001,customers!$C$1:$C$1001,,0))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6">
        <f t="shared" si="30"/>
        <v>53.46</v>
      </c>
      <c r="N662" t="str">
        <f t="shared" si="31"/>
        <v>Excelsa</v>
      </c>
      <c r="O66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f>_xlfn.XLOOKUP(orders!C663,customers!$A$1:$A$1001,customers!$B$1:$B$1001,,0)</f>
        <v>Annie Campsall</v>
      </c>
      <c r="G663" s="2" t="str">
        <f>IF(_xlfn.XLOOKUP(orders!C663,customers!$A$1:$A$1001,customers!$C$1:$C$1001,,0)=0,"",_xlfn.XLOOKUP(orders!C663,customers!$A$1:$A$1001,customers!$C$1:$C$1001,,0))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6">
        <f t="shared" si="30"/>
        <v>20.25</v>
      </c>
      <c r="N663" t="str">
        <f t="shared" si="31"/>
        <v>Arabica</v>
      </c>
      <c r="O663"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f>_xlfn.XLOOKUP(orders!C664,customers!$A$1:$A$1001,customers!$B$1:$B$1001,,0)</f>
        <v>Shermy Moseby</v>
      </c>
      <c r="G664" s="2" t="str">
        <f>IF(_xlfn.XLOOKUP(orders!C664,customers!$A$1:$A$1001,customers!$C$1:$C$1001,,0)=0,"",_xlfn.XLOOKUP(orders!C664,customers!$A$1:$A$1001,customers!$C$1:$C$1001,,0))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6">
        <f t="shared" si="30"/>
        <v>148.92499999999998</v>
      </c>
      <c r="N664" t="str">
        <f t="shared" si="31"/>
        <v>Liberica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_xlfn.XLOOKUP(orders!C665,customers!$A$1:$A$1001,customers!$B$1:$B$1001,,0)</f>
        <v>Corrie Wass</v>
      </c>
      <c r="G665" s="2" t="str">
        <f>IF(_xlfn.XLOOKUP(orders!C665,customers!$A$1:$A$1001,customers!$C$1:$C$1001,,0)=0,"",_xlfn.XLOOKUP(orders!C665,customers!$A$1:$A$1001,customers!$C$1:$C$1001,,0))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6">
        <f t="shared" si="30"/>
        <v>67.5</v>
      </c>
      <c r="N665" t="str">
        <f t="shared" si="31"/>
        <v>Arabica</v>
      </c>
      <c r="O665"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f>_xlfn.XLOOKUP(orders!C666,customers!$A$1:$A$1001,customers!$B$1:$B$1001,,0)</f>
        <v>Ira Sjostrom</v>
      </c>
      <c r="G666" s="2" t="str">
        <f>IF(_xlfn.XLOOKUP(orders!C666,customers!$A$1:$A$1001,customers!$C$1:$C$1001,,0)=0,"",_xlfn.XLOOKUP(orders!C666,customers!$A$1:$A$1001,customers!$C$1:$C$1001,,0))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6">
        <f t="shared" si="30"/>
        <v>72.900000000000006</v>
      </c>
      <c r="N666" t="str">
        <f t="shared" si="31"/>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_xlfn.XLOOKUP(orders!C667,customers!$A$1:$A$1001,customers!$B$1:$B$1001,,0)</f>
        <v>Ira Sjostrom</v>
      </c>
      <c r="G667" s="2" t="str">
        <f>IF(_xlfn.XLOOKUP(orders!C667,customers!$A$1:$A$1001,customers!$C$1:$C$1001,,0)=0,"",_xlfn.XLOOKUP(orders!C667,customers!$A$1:$A$1001,customers!$C$1:$C$1001,,0))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6">
        <f t="shared" si="30"/>
        <v>7.77</v>
      </c>
      <c r="N667" t="str">
        <f t="shared" si="31"/>
        <v>Liberica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_xlfn.XLOOKUP(orders!C668,customers!$A$1:$A$1001,customers!$B$1:$B$1001,,0)</f>
        <v>Jermaine Branchett</v>
      </c>
      <c r="G668" s="2" t="str">
        <f>IF(_xlfn.XLOOKUP(orders!C668,customers!$A$1:$A$1001,customers!$C$1:$C$1001,,0)=0,"",_xlfn.XLOOKUP(orders!C668,customers!$A$1:$A$1001,customers!$C$1:$C$1001,,0))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6">
        <f t="shared" si="30"/>
        <v>91.539999999999992</v>
      </c>
      <c r="N668" t="str">
        <f t="shared" si="31"/>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_xlfn.XLOOKUP(orders!C669,customers!$A$1:$A$1001,customers!$B$1:$B$1001,,0)</f>
        <v>Nissie Rudland</v>
      </c>
      <c r="G669" s="2" t="str">
        <f>IF(_xlfn.XLOOKUP(orders!C669,customers!$A$1:$A$1001,customers!$C$1:$C$1001,,0)=0,"",_xlfn.XLOOKUP(orders!C669,customers!$A$1:$A$1001,customers!$C$1:$C$1001,,0))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6">
        <f t="shared" si="30"/>
        <v>59.699999999999996</v>
      </c>
      <c r="N669" t="str">
        <f t="shared" si="31"/>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_xlfn.XLOOKUP(orders!C670,customers!$A$1:$A$1001,customers!$B$1:$B$1001,,0)</f>
        <v>Janella Millett</v>
      </c>
      <c r="G670" s="2" t="str">
        <f>IF(_xlfn.XLOOKUP(orders!C670,customers!$A$1:$A$1001,customers!$C$1:$C$1001,,0)=0,"",_xlfn.XLOOKUP(orders!C670,customers!$A$1:$A$1001,customers!$C$1:$C$1001,,0))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6">
        <f t="shared" si="30"/>
        <v>137.42499999999998</v>
      </c>
      <c r="N670" t="str">
        <f t="shared" si="31"/>
        <v>Robusta</v>
      </c>
      <c r="O670"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f>_xlfn.XLOOKUP(orders!C671,customers!$A$1:$A$1001,customers!$B$1:$B$1001,,0)</f>
        <v>Ferdie Tourry</v>
      </c>
      <c r="G671" s="2" t="str">
        <f>IF(_xlfn.XLOOKUP(orders!C671,customers!$A$1:$A$1001,customers!$C$1:$C$1001,,0)=0,"",_xlfn.XLOOKUP(orders!C671,customers!$A$1:$A$1001,customers!$C$1:$C$1001,,0))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6">
        <f t="shared" si="30"/>
        <v>66.929999999999993</v>
      </c>
      <c r="N671" t="str">
        <f t="shared" si="31"/>
        <v>Liberica</v>
      </c>
      <c r="O671"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f>_xlfn.XLOOKUP(orders!C672,customers!$A$1:$A$1001,customers!$B$1:$B$1001,,0)</f>
        <v>Cecil Weatherall</v>
      </c>
      <c r="G672" s="2" t="str">
        <f>IF(_xlfn.XLOOKUP(orders!C672,customers!$A$1:$A$1001,customers!$C$1:$C$1001,,0)=0,"",_xlfn.XLOOKUP(orders!C672,customers!$A$1:$A$1001,customers!$C$1:$C$1001,,0))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6">
        <f t="shared" si="30"/>
        <v>13.095000000000001</v>
      </c>
      <c r="N672" t="str">
        <f t="shared" si="31"/>
        <v>Liberica</v>
      </c>
      <c r="O67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f>_xlfn.XLOOKUP(orders!C673,customers!$A$1:$A$1001,customers!$B$1:$B$1001,,0)</f>
        <v>Gale Heindrick</v>
      </c>
      <c r="G673" s="2" t="str">
        <f>IF(_xlfn.XLOOKUP(orders!C673,customers!$A$1:$A$1001,customers!$C$1:$C$1001,,0)=0,"",_xlfn.XLOOKUP(orders!C673,customers!$A$1:$A$1001,customers!$C$1:$C$1001,,0))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6">
        <f t="shared" si="30"/>
        <v>59.75</v>
      </c>
      <c r="N673" t="str">
        <f t="shared" si="31"/>
        <v>Robusta</v>
      </c>
      <c r="O673"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f>_xlfn.XLOOKUP(orders!C674,customers!$A$1:$A$1001,customers!$B$1:$B$1001,,0)</f>
        <v>Layne Imason</v>
      </c>
      <c r="G674" s="2" t="str">
        <f>IF(_xlfn.XLOOKUP(orders!C674,customers!$A$1:$A$1001,customers!$C$1:$C$1001,,0)=0,"",_xlfn.XLOOKUP(orders!C674,customers!$A$1:$A$1001,customers!$C$1:$C$1001,,0))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6">
        <f t="shared" si="30"/>
        <v>43.650000000000006</v>
      </c>
      <c r="N674" t="str">
        <f t="shared" si="31"/>
        <v>Liberica</v>
      </c>
      <c r="O674"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f>_xlfn.XLOOKUP(orders!C675,customers!$A$1:$A$1001,customers!$B$1:$B$1001,,0)</f>
        <v>Hazel Saill</v>
      </c>
      <c r="G675" s="2" t="str">
        <f>IF(_xlfn.XLOOKUP(orders!C675,customers!$A$1:$A$1001,customers!$C$1:$C$1001,,0)=0,"",_xlfn.XLOOKUP(orders!C675,customers!$A$1:$A$1001,customers!$C$1:$C$1001,,0))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6">
        <f t="shared" si="30"/>
        <v>82.5</v>
      </c>
      <c r="N675" t="str">
        <f t="shared" si="31"/>
        <v>Excelsa</v>
      </c>
      <c r="O675"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f>_xlfn.XLOOKUP(orders!C676,customers!$A$1:$A$1001,customers!$B$1:$B$1001,,0)</f>
        <v>Hermann Larvor</v>
      </c>
      <c r="G676" s="2" t="str">
        <f>IF(_xlfn.XLOOKUP(orders!C676,customers!$A$1:$A$1001,customers!$C$1:$C$1001,,0)=0,"",_xlfn.XLOOKUP(orders!C676,customers!$A$1:$A$1001,customers!$C$1:$C$1001,,0))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6">
        <f t="shared" si="30"/>
        <v>178.70999999999998</v>
      </c>
      <c r="N676" t="str">
        <f t="shared" si="31"/>
        <v>Arabica</v>
      </c>
      <c r="O676"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f>_xlfn.XLOOKUP(orders!C677,customers!$A$1:$A$1001,customers!$B$1:$B$1001,,0)</f>
        <v>Terri Lyford</v>
      </c>
      <c r="G677" s="2" t="str">
        <f>IF(_xlfn.XLOOKUP(orders!C677,customers!$A$1:$A$1001,customers!$C$1:$C$1001,,0)=0,"",_xlfn.XLOOKUP(orders!C677,customers!$A$1:$A$1001,customers!$C$1:$C$1001,,0))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6">
        <f t="shared" si="30"/>
        <v>119.13999999999999</v>
      </c>
      <c r="N677" t="str">
        <f t="shared" si="31"/>
        <v>Liberica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_xlfn.XLOOKUP(orders!C678,customers!$A$1:$A$1001,customers!$B$1:$B$1001,,0)</f>
        <v>Gabey Cogan</v>
      </c>
      <c r="G678" s="2" t="str">
        <f>IF(_xlfn.XLOOKUP(orders!C678,customers!$A$1:$A$1001,customers!$C$1:$C$1001,,0)=0,"",_xlfn.XLOOKUP(orders!C678,customers!$A$1:$A$1001,customers!$C$1:$C$1001,,0))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6">
        <f t="shared" si="30"/>
        <v>47.55</v>
      </c>
      <c r="N678" t="str">
        <f t="shared" si="31"/>
        <v>Liberica</v>
      </c>
      <c r="O678"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f>_xlfn.XLOOKUP(orders!C679,customers!$A$1:$A$1001,customers!$B$1:$B$1001,,0)</f>
        <v>Charin Penwarden</v>
      </c>
      <c r="G679" s="2" t="str">
        <f>IF(_xlfn.XLOOKUP(orders!C679,customers!$A$1:$A$1001,customers!$C$1:$C$1001,,0)=0,"",_xlfn.XLOOKUP(orders!C679,customers!$A$1:$A$1001,customers!$C$1:$C$1001,,0))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6">
        <f t="shared" si="30"/>
        <v>43.650000000000006</v>
      </c>
      <c r="N679" t="str">
        <f t="shared" si="31"/>
        <v>Liberica</v>
      </c>
      <c r="O679"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f>_xlfn.XLOOKUP(orders!C680,customers!$A$1:$A$1001,customers!$B$1:$B$1001,,0)</f>
        <v>Milty Middis</v>
      </c>
      <c r="G680" s="2" t="str">
        <f>IF(_xlfn.XLOOKUP(orders!C680,customers!$A$1:$A$1001,customers!$C$1:$C$1001,,0)=0,"",_xlfn.XLOOKUP(orders!C680,customers!$A$1:$A$1001,customers!$C$1:$C$1001,,0))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6">
        <f t="shared" si="30"/>
        <v>178.70999999999998</v>
      </c>
      <c r="N680" t="str">
        <f t="shared" si="31"/>
        <v>Arabica</v>
      </c>
      <c r="O680"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f>_xlfn.XLOOKUP(orders!C681,customers!$A$1:$A$1001,customers!$B$1:$B$1001,,0)</f>
        <v>Adrianne Vairow</v>
      </c>
      <c r="G681" s="2" t="str">
        <f>IF(_xlfn.XLOOKUP(orders!C681,customers!$A$1:$A$1001,customers!$C$1:$C$1001,,0)=0,"",_xlfn.XLOOKUP(orders!C681,customers!$A$1:$A$1001,customers!$C$1:$C$1001,,0))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6">
        <f t="shared" si="30"/>
        <v>27.484999999999996</v>
      </c>
      <c r="N681" t="str">
        <f t="shared" si="31"/>
        <v>Robusta</v>
      </c>
      <c r="O681"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f>_xlfn.XLOOKUP(orders!C682,customers!$A$1:$A$1001,customers!$B$1:$B$1001,,0)</f>
        <v>Anjanette Goldie</v>
      </c>
      <c r="G682" s="2" t="str">
        <f>IF(_xlfn.XLOOKUP(orders!C682,customers!$A$1:$A$1001,customers!$C$1:$C$1001,,0)=0,"",_xlfn.XLOOKUP(orders!C682,customers!$A$1:$A$1001,customers!$C$1:$C$1001,,0))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6">
        <f t="shared" si="30"/>
        <v>56.25</v>
      </c>
      <c r="N682" t="str">
        <f t="shared" si="31"/>
        <v>Arabica</v>
      </c>
      <c r="O68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f>_xlfn.XLOOKUP(orders!C683,customers!$A$1:$A$1001,customers!$B$1:$B$1001,,0)</f>
        <v>Nicky Ayris</v>
      </c>
      <c r="G683" s="2" t="str">
        <f>IF(_xlfn.XLOOKUP(orders!C683,customers!$A$1:$A$1001,customers!$C$1:$C$1001,,0)=0,"",_xlfn.XLOOKUP(orders!C683,customers!$A$1:$A$1001,customers!$C$1:$C$1001,,0))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6">
        <f t="shared" si="30"/>
        <v>9.51</v>
      </c>
      <c r="N683" t="str">
        <f t="shared" si="31"/>
        <v>Liberica</v>
      </c>
      <c r="O683"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f>_xlfn.XLOOKUP(orders!C684,customers!$A$1:$A$1001,customers!$B$1:$B$1001,,0)</f>
        <v>Laryssa Benediktovich</v>
      </c>
      <c r="G684" s="2" t="str">
        <f>IF(_xlfn.XLOOKUP(orders!C684,customers!$A$1:$A$1001,customers!$C$1:$C$1001,,0)=0,"",_xlfn.XLOOKUP(orders!C684,customers!$A$1:$A$1001,customers!$C$1:$C$1001,,0))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6">
        <f t="shared" si="30"/>
        <v>8.25</v>
      </c>
      <c r="N684" t="str">
        <f t="shared" si="31"/>
        <v>Excelsa</v>
      </c>
      <c r="O684"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f>_xlfn.XLOOKUP(orders!C685,customers!$A$1:$A$1001,customers!$B$1:$B$1001,,0)</f>
        <v>Theo Jacobovitz</v>
      </c>
      <c r="G685" s="2" t="str">
        <f>IF(_xlfn.XLOOKUP(orders!C685,customers!$A$1:$A$1001,customers!$C$1:$C$1001,,0)=0,"",_xlfn.XLOOKUP(orders!C685,customers!$A$1:$A$1001,customers!$C$1:$C$1001,,0))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6">
        <f t="shared" si="30"/>
        <v>46.62</v>
      </c>
      <c r="N685" t="str">
        <f t="shared" si="31"/>
        <v>Liberica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_xlfn.XLOOKUP(orders!C686,customers!$A$1:$A$1001,customers!$B$1:$B$1001,,0)</f>
        <v>Becca Ableson</v>
      </c>
      <c r="G686" s="2" t="str">
        <f>IF(_xlfn.XLOOKUP(orders!C686,customers!$A$1:$A$1001,customers!$C$1:$C$1001,,0)=0,"",_xlfn.XLOOKUP(orders!C686,customers!$A$1:$A$1001,customers!$C$1:$C$1001,,0))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6">
        <f t="shared" si="30"/>
        <v>71.699999999999989</v>
      </c>
      <c r="N686" t="str">
        <f t="shared" si="31"/>
        <v>Robusta</v>
      </c>
      <c r="O686"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f>_xlfn.XLOOKUP(orders!C687,customers!$A$1:$A$1001,customers!$B$1:$B$1001,,0)</f>
        <v>Jeno Druitt</v>
      </c>
      <c r="G687" s="2" t="str">
        <f>IF(_xlfn.XLOOKUP(orders!C687,customers!$A$1:$A$1001,customers!$C$1:$C$1001,,0)=0,"",_xlfn.XLOOKUP(orders!C687,customers!$A$1:$A$1001,customers!$C$1:$C$1001,,0))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6">
        <f t="shared" si="30"/>
        <v>72.91</v>
      </c>
      <c r="N687" t="str">
        <f t="shared" si="31"/>
        <v>Liberica</v>
      </c>
      <c r="O687"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f>_xlfn.XLOOKUP(orders!C688,customers!$A$1:$A$1001,customers!$B$1:$B$1001,,0)</f>
        <v>Deonne Shortall</v>
      </c>
      <c r="G688" s="2" t="str">
        <f>IF(_xlfn.XLOOKUP(orders!C688,customers!$A$1:$A$1001,customers!$C$1:$C$1001,,0)=0,"",_xlfn.XLOOKUP(orders!C688,customers!$A$1:$A$1001,customers!$C$1:$C$1001,,0))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6">
        <f t="shared" si="30"/>
        <v>8.0549999999999997</v>
      </c>
      <c r="N688" t="str">
        <f t="shared" si="31"/>
        <v>Robusta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_xlfn.XLOOKUP(orders!C689,customers!$A$1:$A$1001,customers!$B$1:$B$1001,,0)</f>
        <v>Wilton Cottier</v>
      </c>
      <c r="G689" s="2" t="str">
        <f>IF(_xlfn.XLOOKUP(orders!C689,customers!$A$1:$A$1001,customers!$C$1:$C$1001,,0)=0,"",_xlfn.XLOOKUP(orders!C689,customers!$A$1:$A$1001,customers!$C$1:$C$1001,,0))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6">
        <f t="shared" si="30"/>
        <v>16.5</v>
      </c>
      <c r="N689" t="str">
        <f t="shared" si="31"/>
        <v>Excelsa</v>
      </c>
      <c r="O689"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f>_xlfn.XLOOKUP(orders!C690,customers!$A$1:$A$1001,customers!$B$1:$B$1001,,0)</f>
        <v>Kevan Grinsted</v>
      </c>
      <c r="G690" s="2" t="str">
        <f>IF(_xlfn.XLOOKUP(orders!C690,customers!$A$1:$A$1001,customers!$C$1:$C$1001,,0)=0,"",_xlfn.XLOOKUP(orders!C690,customers!$A$1:$A$1001,customers!$C$1:$C$1001,,0))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6">
        <f t="shared" si="30"/>
        <v>64.75</v>
      </c>
      <c r="N690" t="str">
        <f t="shared" si="31"/>
        <v>Arabica</v>
      </c>
      <c r="O690"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f>_xlfn.XLOOKUP(orders!C691,customers!$A$1:$A$1001,customers!$B$1:$B$1001,,0)</f>
        <v>Dionne Skyner</v>
      </c>
      <c r="G691" s="2" t="str">
        <f>IF(_xlfn.XLOOKUP(orders!C691,customers!$A$1:$A$1001,customers!$C$1:$C$1001,,0)=0,"",_xlfn.XLOOKUP(orders!C691,customers!$A$1:$A$1001,customers!$C$1:$C$1001,,0))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6">
        <f t="shared" si="30"/>
        <v>33.75</v>
      </c>
      <c r="N691" t="str">
        <f t="shared" si="31"/>
        <v>Arabica</v>
      </c>
      <c r="O691"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f>_xlfn.XLOOKUP(orders!C692,customers!$A$1:$A$1001,customers!$B$1:$B$1001,,0)</f>
        <v>Francesco Dressel</v>
      </c>
      <c r="G692" s="2" t="str">
        <f>IF(_xlfn.XLOOKUP(orders!C692,customers!$A$1:$A$1001,customers!$C$1:$C$1001,,0)=0,"",_xlfn.XLOOKUP(orders!C692,customers!$A$1:$A$1001,customers!$C$1:$C$1001,,0))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6">
        <f t="shared" si="30"/>
        <v>178.70999999999998</v>
      </c>
      <c r="N692" t="str">
        <f t="shared" si="31"/>
        <v>Liberica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_xlfn.XLOOKUP(orders!C693,customers!$A$1:$A$1001,customers!$B$1:$B$1001,,0)</f>
        <v>Jimmy Dymoke</v>
      </c>
      <c r="G693" s="2" t="str">
        <f>IF(_xlfn.XLOOKUP(orders!C693,customers!$A$1:$A$1001,customers!$C$1:$C$1001,,0)=0,"",_xlfn.XLOOKUP(orders!C693,customers!$A$1:$A$1001,customers!$C$1:$C$1001,,0))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6">
        <f t="shared" si="30"/>
        <v>22.5</v>
      </c>
      <c r="N693" t="str">
        <f t="shared" si="31"/>
        <v>Arabica</v>
      </c>
      <c r="O693"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f>_xlfn.XLOOKUP(orders!C694,customers!$A$1:$A$1001,customers!$B$1:$B$1001,,0)</f>
        <v>Ambrosio Weinmann</v>
      </c>
      <c r="G694" s="2" t="str">
        <f>IF(_xlfn.XLOOKUP(orders!C694,customers!$A$1:$A$1001,customers!$C$1:$C$1001,,0)=0,"",_xlfn.XLOOKUP(orders!C694,customers!$A$1:$A$1001,customers!$C$1:$C$1001,,0))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6">
        <f t="shared" si="30"/>
        <v>12.95</v>
      </c>
      <c r="N694" t="str">
        <f t="shared" si="31"/>
        <v>Liberica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_xlfn.XLOOKUP(orders!C695,customers!$A$1:$A$1001,customers!$B$1:$B$1001,,0)</f>
        <v>Elden Andriessen</v>
      </c>
      <c r="G695" s="2" t="str">
        <f>IF(_xlfn.XLOOKUP(orders!C695,customers!$A$1:$A$1001,customers!$C$1:$C$1001,,0)=0,"",_xlfn.XLOOKUP(orders!C695,customers!$A$1:$A$1001,customers!$C$1:$C$1001,,0))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6">
        <f t="shared" si="30"/>
        <v>51.749999999999993</v>
      </c>
      <c r="N695" t="str">
        <f t="shared" si="31"/>
        <v>Arabica</v>
      </c>
      <c r="O695"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f>_xlfn.XLOOKUP(orders!C696,customers!$A$1:$A$1001,customers!$B$1:$B$1001,,0)</f>
        <v>Roxie Deaconson</v>
      </c>
      <c r="G696" s="2" t="str">
        <f>IF(_xlfn.XLOOKUP(orders!C696,customers!$A$1:$A$1001,customers!$C$1:$C$1001,,0)=0,"",_xlfn.XLOOKUP(orders!C696,customers!$A$1:$A$1001,customers!$C$1:$C$1001,,0))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6">
        <f t="shared" si="30"/>
        <v>36.450000000000003</v>
      </c>
      <c r="N696" t="str">
        <f t="shared" si="31"/>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_xlfn.XLOOKUP(orders!C697,customers!$A$1:$A$1001,customers!$B$1:$B$1001,,0)</f>
        <v>Davida Caro</v>
      </c>
      <c r="G697" s="2" t="str">
        <f>IF(_xlfn.XLOOKUP(orders!C697,customers!$A$1:$A$1001,customers!$C$1:$C$1001,,0)=0,"",_xlfn.XLOOKUP(orders!C697,customers!$A$1:$A$1001,customers!$C$1:$C$1001,,0))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6">
        <f t="shared" si="30"/>
        <v>182.27499999999998</v>
      </c>
      <c r="N697" t="str">
        <f t="shared" si="31"/>
        <v>Liberica</v>
      </c>
      <c r="O697"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f>_xlfn.XLOOKUP(orders!C698,customers!$A$1:$A$1001,customers!$B$1:$B$1001,,0)</f>
        <v>Johna Bluck</v>
      </c>
      <c r="G698" s="2" t="str">
        <f>IF(_xlfn.XLOOKUP(orders!C698,customers!$A$1:$A$1001,customers!$C$1:$C$1001,,0)=0,"",_xlfn.XLOOKUP(orders!C698,customers!$A$1:$A$1001,customers!$C$1:$C$1001,,0))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6">
        <f t="shared" si="30"/>
        <v>31.08</v>
      </c>
      <c r="N698" t="str">
        <f t="shared" si="31"/>
        <v>Liberica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_xlfn.XLOOKUP(orders!C699,customers!$A$1:$A$1001,customers!$B$1:$B$1001,,0)</f>
        <v>Myrle Dearden</v>
      </c>
      <c r="G699" s="2" t="str">
        <f>IF(_xlfn.XLOOKUP(orders!C699,customers!$A$1:$A$1001,customers!$C$1:$C$1001,,0)=0,"",_xlfn.XLOOKUP(orders!C699,customers!$A$1:$A$1001,customers!$C$1:$C$1001,,0))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6">
        <f t="shared" si="30"/>
        <v>20.25</v>
      </c>
      <c r="N699" t="str">
        <f t="shared" si="31"/>
        <v>Arabica</v>
      </c>
      <c r="O699"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f>_xlfn.XLOOKUP(orders!C700,customers!$A$1:$A$1001,customers!$B$1:$B$1001,,0)</f>
        <v>Jimmy Dymoke</v>
      </c>
      <c r="G700" s="2" t="str">
        <f>IF(_xlfn.XLOOKUP(orders!C700,customers!$A$1:$A$1001,customers!$C$1:$C$1001,,0)=0,"",_xlfn.XLOOKUP(orders!C700,customers!$A$1:$A$1001,customers!$C$1:$C$1001,,0))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6">
        <f t="shared" si="30"/>
        <v>25.9</v>
      </c>
      <c r="N700" t="str">
        <f t="shared" si="31"/>
        <v>Liberica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_xlfn.XLOOKUP(orders!C701,customers!$A$1:$A$1001,customers!$B$1:$B$1001,,0)</f>
        <v>Orland Tadman</v>
      </c>
      <c r="G701" s="2" t="str">
        <f>IF(_xlfn.XLOOKUP(orders!C701,customers!$A$1:$A$1001,customers!$C$1:$C$1001,,0)=0,"",_xlfn.XLOOKUP(orders!C701,customers!$A$1:$A$1001,customers!$C$1:$C$1001,,0))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6">
        <f t="shared" si="30"/>
        <v>23.88</v>
      </c>
      <c r="N701" t="str">
        <f t="shared" si="31"/>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_xlfn.XLOOKUP(orders!C702,customers!$A$1:$A$1001,customers!$B$1:$B$1001,,0)</f>
        <v>Barrett Gudde</v>
      </c>
      <c r="G702" s="2" t="str">
        <f>IF(_xlfn.XLOOKUP(orders!C702,customers!$A$1:$A$1001,customers!$C$1:$C$1001,,0)=0,"",_xlfn.XLOOKUP(orders!C702,customers!$A$1:$A$1001,customers!$C$1:$C$1001,,0))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6">
        <f t="shared" si="30"/>
        <v>19.02</v>
      </c>
      <c r="N702" t="str">
        <f t="shared" si="31"/>
        <v>Liberica</v>
      </c>
      <c r="O70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f>_xlfn.XLOOKUP(orders!C703,customers!$A$1:$A$1001,customers!$B$1:$B$1001,,0)</f>
        <v>Nathan Sictornes</v>
      </c>
      <c r="G703" s="2" t="str">
        <f>IF(_xlfn.XLOOKUP(orders!C703,customers!$A$1:$A$1001,customers!$C$1:$C$1001,,0)=0,"",_xlfn.XLOOKUP(orders!C703,customers!$A$1:$A$1001,customers!$C$1:$C$1001,,0))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6">
        <f t="shared" si="30"/>
        <v>29.849999999999998</v>
      </c>
      <c r="N703" t="str">
        <f t="shared" si="31"/>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_xlfn.XLOOKUP(orders!C704,customers!$A$1:$A$1001,customers!$B$1:$B$1001,,0)</f>
        <v>Vivyan Dunning</v>
      </c>
      <c r="G704" s="2" t="str">
        <f>IF(_xlfn.XLOOKUP(orders!C704,customers!$A$1:$A$1001,customers!$C$1:$C$1001,,0)=0,"",_xlfn.XLOOKUP(orders!C704,customers!$A$1:$A$1001,customers!$C$1:$C$1001,,0))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6">
        <f t="shared" si="30"/>
        <v>7.77</v>
      </c>
      <c r="N704" t="str">
        <f t="shared" si="31"/>
        <v>Arabica</v>
      </c>
      <c r="O704"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f>_xlfn.XLOOKUP(orders!C705,customers!$A$1:$A$1001,customers!$B$1:$B$1001,,0)</f>
        <v>Doralin Baison</v>
      </c>
      <c r="G705" s="2" t="str">
        <f>IF(_xlfn.XLOOKUP(orders!C705,customers!$A$1:$A$1001,customers!$C$1:$C$1001,,0)=0,"",_xlfn.XLOOKUP(orders!C705,customers!$A$1:$A$1001,customers!$C$1:$C$1001,,0))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6">
        <f t="shared" si="30"/>
        <v>119.13999999999999</v>
      </c>
      <c r="N705" t="str">
        <f t="shared" si="31"/>
        <v>Liberica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_xlfn.XLOOKUP(orders!C706,customers!$A$1:$A$1001,customers!$B$1:$B$1001,,0)</f>
        <v>Josefina Ferens</v>
      </c>
      <c r="G706" s="2" t="str">
        <f>IF(_xlfn.XLOOKUP(orders!C706,customers!$A$1:$A$1001,customers!$C$1:$C$1001,,0)=0,"",_xlfn.XLOOKUP(orders!C706,customers!$A$1:$A$1001,customers!$C$1:$C$1001,,0))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6">
        <f t="shared" si="30"/>
        <v>21.87</v>
      </c>
      <c r="N706" t="str">
        <f t="shared" si="31"/>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_xlfn.XLOOKUP(orders!C707,customers!$A$1:$A$1001,customers!$B$1:$B$1001,,0)</f>
        <v>Shelley Gehring</v>
      </c>
      <c r="G707" s="2" t="str">
        <f>IF(_xlfn.XLOOKUP(orders!C707,customers!$A$1:$A$1001,customers!$C$1:$C$1001,,0)=0,"",_xlfn.XLOOKUP(orders!C707,customers!$A$1:$A$1001,customers!$C$1:$C$1001,,0))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6">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_xlfn.XLOOKUP(orders!C708,customers!$A$1:$A$1001,customers!$B$1:$B$1001,,0)</f>
        <v>Barrie Fallowes</v>
      </c>
      <c r="G708" s="2" t="str">
        <f>IF(_xlfn.XLOOKUP(orders!C708,customers!$A$1:$A$1001,customers!$C$1:$C$1001,,0)=0,"",_xlfn.XLOOKUP(orders!C708,customers!$A$1:$A$1001,customers!$C$1:$C$1001,,0))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6">
        <f t="shared" si="33"/>
        <v>12.375</v>
      </c>
      <c r="N708" t="str">
        <f t="shared" si="34"/>
        <v>Excelsa</v>
      </c>
      <c r="O708"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f>_xlfn.XLOOKUP(orders!C709,customers!$A$1:$A$1001,customers!$B$1:$B$1001,,0)</f>
        <v>Nicolas Aiton</v>
      </c>
      <c r="G709" s="2" t="str">
        <f>IF(_xlfn.XLOOKUP(orders!C709,customers!$A$1:$A$1001,customers!$C$1:$C$1001,,0)=0,"",_xlfn.XLOOKUP(orders!C709,customers!$A$1:$A$1001,customers!$C$1:$C$1001,,0))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6">
        <f t="shared" si="33"/>
        <v>25.9</v>
      </c>
      <c r="N709" t="str">
        <f t="shared" si="34"/>
        <v>Liberica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_xlfn.XLOOKUP(orders!C710,customers!$A$1:$A$1001,customers!$B$1:$B$1001,,0)</f>
        <v>Shelli De Banke</v>
      </c>
      <c r="G710" s="2" t="str">
        <f>IF(_xlfn.XLOOKUP(orders!C710,customers!$A$1:$A$1001,customers!$C$1:$C$1001,,0)=0,"",_xlfn.XLOOKUP(orders!C710,customers!$A$1:$A$1001,customers!$C$1:$C$1001,,0))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6">
        <f t="shared" si="33"/>
        <v>13.5</v>
      </c>
      <c r="N710" t="str">
        <f t="shared" si="34"/>
        <v>Arabica</v>
      </c>
      <c r="O710"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f>_xlfn.XLOOKUP(orders!C711,customers!$A$1:$A$1001,customers!$B$1:$B$1001,,0)</f>
        <v>Lyell Murch</v>
      </c>
      <c r="G711" s="2" t="str">
        <f>IF(_xlfn.XLOOKUP(orders!C711,customers!$A$1:$A$1001,customers!$C$1:$C$1001,,0)=0,"",_xlfn.XLOOKUP(orders!C711,customers!$A$1:$A$1001,customers!$C$1:$C$1001,,0))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6">
        <f t="shared" si="33"/>
        <v>17.82</v>
      </c>
      <c r="N711" t="str">
        <f t="shared" si="34"/>
        <v>Excelsa</v>
      </c>
      <c r="O711"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f>_xlfn.XLOOKUP(orders!C712,customers!$A$1:$A$1001,customers!$B$1:$B$1001,,0)</f>
        <v>Stearne Count</v>
      </c>
      <c r="G712" s="2" t="str">
        <f>IF(_xlfn.XLOOKUP(orders!C712,customers!$A$1:$A$1001,customers!$C$1:$C$1001,,0)=0,"",_xlfn.XLOOKUP(orders!C712,customers!$A$1:$A$1001,customers!$C$1:$C$1001,,0))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6">
        <f t="shared" si="33"/>
        <v>24.75</v>
      </c>
      <c r="N712" t="str">
        <f t="shared" si="34"/>
        <v>Excelsa</v>
      </c>
      <c r="O71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f>_xlfn.XLOOKUP(orders!C713,customers!$A$1:$A$1001,customers!$B$1:$B$1001,,0)</f>
        <v>Selia Ragles</v>
      </c>
      <c r="G713" s="2" t="str">
        <f>IF(_xlfn.XLOOKUP(orders!C713,customers!$A$1:$A$1001,customers!$C$1:$C$1001,,0)=0,"",_xlfn.XLOOKUP(orders!C713,customers!$A$1:$A$1001,customers!$C$1:$C$1001,,0))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6">
        <f t="shared" si="33"/>
        <v>17.91</v>
      </c>
      <c r="N713" t="str">
        <f t="shared" si="34"/>
        <v>Robusta</v>
      </c>
      <c r="O713"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f>_xlfn.XLOOKUP(orders!C714,customers!$A$1:$A$1001,customers!$B$1:$B$1001,,0)</f>
        <v>Silas Deehan</v>
      </c>
      <c r="G714" s="2" t="str">
        <f>IF(_xlfn.XLOOKUP(orders!C714,customers!$A$1:$A$1001,customers!$C$1:$C$1001,,0)=0,"",_xlfn.XLOOKUP(orders!C714,customers!$A$1:$A$1001,customers!$C$1:$C$1001,,0))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6">
        <f t="shared" si="33"/>
        <v>16.5</v>
      </c>
      <c r="N714" t="str">
        <f t="shared" si="34"/>
        <v>Excelsa</v>
      </c>
      <c r="O714"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f>_xlfn.XLOOKUP(orders!C715,customers!$A$1:$A$1001,customers!$B$1:$B$1001,,0)</f>
        <v>Sacha Bruun</v>
      </c>
      <c r="G715" s="2" t="str">
        <f>IF(_xlfn.XLOOKUP(orders!C715,customers!$A$1:$A$1001,customers!$C$1:$C$1001,,0)=0,"",_xlfn.XLOOKUP(orders!C715,customers!$A$1:$A$1001,customers!$C$1:$C$1001,,0))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6">
        <f t="shared" si="33"/>
        <v>2.9849999999999999</v>
      </c>
      <c r="N715" t="str">
        <f t="shared" si="34"/>
        <v>Robusta</v>
      </c>
      <c r="O715"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f>_xlfn.XLOOKUP(orders!C716,customers!$A$1:$A$1001,customers!$B$1:$B$1001,,0)</f>
        <v>Alon Pllu</v>
      </c>
      <c r="G716" s="2" t="str">
        <f>IF(_xlfn.XLOOKUP(orders!C716,customers!$A$1:$A$1001,customers!$C$1:$C$1001,,0)=0,"",_xlfn.XLOOKUP(orders!C716,customers!$A$1:$A$1001,customers!$C$1:$C$1001,,0))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6">
        <f t="shared" si="33"/>
        <v>14.58</v>
      </c>
      <c r="N716" t="str">
        <f t="shared" si="34"/>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_xlfn.XLOOKUP(orders!C717,customers!$A$1:$A$1001,customers!$B$1:$B$1001,,0)</f>
        <v>Gilberto Cornier</v>
      </c>
      <c r="G717" s="2" t="str">
        <f>IF(_xlfn.XLOOKUP(orders!C717,customers!$A$1:$A$1001,customers!$C$1:$C$1001,,0)=0,"",_xlfn.XLOOKUP(orders!C717,customers!$A$1:$A$1001,customers!$C$1:$C$1001,,0))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6">
        <f t="shared" si="33"/>
        <v>89.1</v>
      </c>
      <c r="N717" t="str">
        <f t="shared" si="34"/>
        <v>Excelsa</v>
      </c>
      <c r="O717"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f>_xlfn.XLOOKUP(orders!C718,customers!$A$1:$A$1001,customers!$B$1:$B$1001,,0)</f>
        <v>Jimmy Dymoke</v>
      </c>
      <c r="G718" s="2" t="str">
        <f>IF(_xlfn.XLOOKUP(orders!C718,customers!$A$1:$A$1001,customers!$C$1:$C$1001,,0)=0,"",_xlfn.XLOOKUP(orders!C718,customers!$A$1:$A$1001,customers!$C$1:$C$1001,,0))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6">
        <f t="shared" si="33"/>
        <v>35.849999999999994</v>
      </c>
      <c r="N718" t="str">
        <f t="shared" si="34"/>
        <v>Robusta</v>
      </c>
      <c r="O718"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f>_xlfn.XLOOKUP(orders!C719,customers!$A$1:$A$1001,customers!$B$1:$B$1001,,0)</f>
        <v>Willabella Harvison</v>
      </c>
      <c r="G719" s="2" t="str">
        <f>IF(_xlfn.XLOOKUP(orders!C719,customers!$A$1:$A$1001,customers!$C$1:$C$1001,,0)=0,"",_xlfn.XLOOKUP(orders!C719,customers!$A$1:$A$1001,customers!$C$1:$C$1001,,0))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6">
        <f t="shared" si="33"/>
        <v>68.655000000000001</v>
      </c>
      <c r="N719" t="str">
        <f t="shared" si="34"/>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_xlfn.XLOOKUP(orders!C720,customers!$A$1:$A$1001,customers!$B$1:$B$1001,,0)</f>
        <v>Darice Heaford</v>
      </c>
      <c r="G720" s="2" t="str">
        <f>IF(_xlfn.XLOOKUP(orders!C720,customers!$A$1:$A$1001,customers!$C$1:$C$1001,,0)=0,"",_xlfn.XLOOKUP(orders!C720,customers!$A$1:$A$1001,customers!$C$1:$C$1001,,0))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6">
        <f t="shared" si="33"/>
        <v>38.849999999999994</v>
      </c>
      <c r="N720" t="str">
        <f t="shared" si="34"/>
        <v>Liberica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_xlfn.XLOOKUP(orders!C721,customers!$A$1:$A$1001,customers!$B$1:$B$1001,,0)</f>
        <v>Granger Fantham</v>
      </c>
      <c r="G721" s="2" t="str">
        <f>IF(_xlfn.XLOOKUP(orders!C721,customers!$A$1:$A$1001,customers!$C$1:$C$1001,,0)=0,"",_xlfn.XLOOKUP(orders!C721,customers!$A$1:$A$1001,customers!$C$1:$C$1001,,0))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6">
        <f t="shared" si="33"/>
        <v>79.25</v>
      </c>
      <c r="N721" t="str">
        <f t="shared" si="34"/>
        <v>Liberica</v>
      </c>
      <c r="O721"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f>_xlfn.XLOOKUP(orders!C722,customers!$A$1:$A$1001,customers!$B$1:$B$1001,,0)</f>
        <v>Reynolds Crookshanks</v>
      </c>
      <c r="G722" s="2" t="str">
        <f>IF(_xlfn.XLOOKUP(orders!C722,customers!$A$1:$A$1001,customers!$C$1:$C$1001,,0)=0,"",_xlfn.XLOOKUP(orders!C722,customers!$A$1:$A$1001,customers!$C$1:$C$1001,,0))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6">
        <f t="shared" si="33"/>
        <v>36.450000000000003</v>
      </c>
      <c r="N722" t="str">
        <f t="shared" si="34"/>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_xlfn.XLOOKUP(orders!C723,customers!$A$1:$A$1001,customers!$B$1:$B$1001,,0)</f>
        <v>Niels Leake</v>
      </c>
      <c r="G723" s="2" t="str">
        <f>IF(_xlfn.XLOOKUP(orders!C723,customers!$A$1:$A$1001,customers!$C$1:$C$1001,,0)=0,"",_xlfn.XLOOKUP(orders!C723,customers!$A$1:$A$1001,customers!$C$1:$C$1001,,0))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6">
        <f t="shared" si="33"/>
        <v>8.9550000000000001</v>
      </c>
      <c r="N723" t="str">
        <f t="shared" si="34"/>
        <v>Robusta</v>
      </c>
      <c r="O723"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f>_xlfn.XLOOKUP(orders!C724,customers!$A$1:$A$1001,customers!$B$1:$B$1001,,0)</f>
        <v>Hetti Measures</v>
      </c>
      <c r="G724" s="2" t="str">
        <f>IF(_xlfn.XLOOKUP(orders!C724,customers!$A$1:$A$1001,customers!$C$1:$C$1001,,0)=0,"",_xlfn.XLOOKUP(orders!C724,customers!$A$1:$A$1001,customers!$C$1:$C$1001,,0))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6">
        <f t="shared" si="33"/>
        <v>24.3</v>
      </c>
      <c r="N724" t="str">
        <f t="shared" si="34"/>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_xlfn.XLOOKUP(orders!C725,customers!$A$1:$A$1001,customers!$B$1:$B$1001,,0)</f>
        <v>Gay Eilhersen</v>
      </c>
      <c r="G725" s="2" t="str">
        <f>IF(_xlfn.XLOOKUP(orders!C725,customers!$A$1:$A$1001,customers!$C$1:$C$1001,,0)=0,"",_xlfn.XLOOKUP(orders!C725,customers!$A$1:$A$1001,customers!$C$1:$C$1001,,0))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6">
        <f t="shared" si="33"/>
        <v>63.249999999999993</v>
      </c>
      <c r="N725" t="str">
        <f t="shared" si="34"/>
        <v>Excelsa</v>
      </c>
      <c r="O725"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f>_xlfn.XLOOKUP(orders!C726,customers!$A$1:$A$1001,customers!$B$1:$B$1001,,0)</f>
        <v>Nico Hubert</v>
      </c>
      <c r="G726" s="2" t="str">
        <f>IF(_xlfn.XLOOKUP(orders!C726,customers!$A$1:$A$1001,customers!$C$1:$C$1001,,0)=0,"",_xlfn.XLOOKUP(orders!C726,customers!$A$1:$A$1001,customers!$C$1:$C$1001,,0))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6">
        <f t="shared" si="33"/>
        <v>6.75</v>
      </c>
      <c r="N726" t="str">
        <f t="shared" si="34"/>
        <v>Arabica</v>
      </c>
      <c r="O726"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f>_xlfn.XLOOKUP(orders!C727,customers!$A$1:$A$1001,customers!$B$1:$B$1001,,0)</f>
        <v>Cristina Aleixo</v>
      </c>
      <c r="G727" s="2" t="str">
        <f>IF(_xlfn.XLOOKUP(orders!C727,customers!$A$1:$A$1001,customers!$C$1:$C$1001,,0)=0,"",_xlfn.XLOOKUP(orders!C727,customers!$A$1:$A$1001,customers!$C$1:$C$1001,,0))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6">
        <f t="shared" si="33"/>
        <v>23.31</v>
      </c>
      <c r="N727" t="str">
        <f t="shared" si="34"/>
        <v>Arabica</v>
      </c>
      <c r="O727"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f>_xlfn.XLOOKUP(orders!C728,customers!$A$1:$A$1001,customers!$B$1:$B$1001,,0)</f>
        <v>Derrek Allpress</v>
      </c>
      <c r="G728" s="2" t="str">
        <f>IF(_xlfn.XLOOKUP(orders!C728,customers!$A$1:$A$1001,customers!$C$1:$C$1001,,0)=0,"",_xlfn.XLOOKUP(orders!C728,customers!$A$1:$A$1001,customers!$C$1:$C$1001,,0))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6">
        <f t="shared" si="33"/>
        <v>145.82</v>
      </c>
      <c r="N728" t="str">
        <f t="shared" si="34"/>
        <v>Liberica</v>
      </c>
      <c r="O728"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f>_xlfn.XLOOKUP(orders!C729,customers!$A$1:$A$1001,customers!$B$1:$B$1001,,0)</f>
        <v>Rikki Tomkowicz</v>
      </c>
      <c r="G729" s="2" t="str">
        <f>IF(_xlfn.XLOOKUP(orders!C729,customers!$A$1:$A$1001,customers!$C$1:$C$1001,,0)=0,"",_xlfn.XLOOKUP(orders!C729,customers!$A$1:$A$1001,customers!$C$1:$C$1001,,0))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6">
        <f t="shared" si="33"/>
        <v>29.849999999999998</v>
      </c>
      <c r="N729" t="str">
        <f t="shared" si="34"/>
        <v>Robusta</v>
      </c>
      <c r="O729"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f>_xlfn.XLOOKUP(orders!C730,customers!$A$1:$A$1001,customers!$B$1:$B$1001,,0)</f>
        <v>Rochette Huscroft</v>
      </c>
      <c r="G730" s="2" t="str">
        <f>IF(_xlfn.XLOOKUP(orders!C730,customers!$A$1:$A$1001,customers!$C$1:$C$1001,,0)=0,"",_xlfn.XLOOKUP(orders!C730,customers!$A$1:$A$1001,customers!$C$1:$C$1001,,0))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6">
        <f t="shared" si="33"/>
        <v>21.87</v>
      </c>
      <c r="N730" t="str">
        <f t="shared" si="34"/>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_xlfn.XLOOKUP(orders!C731,customers!$A$1:$A$1001,customers!$B$1:$B$1001,,0)</f>
        <v>Selle Scurrer</v>
      </c>
      <c r="G731" s="2" t="str">
        <f>IF(_xlfn.XLOOKUP(orders!C731,customers!$A$1:$A$1001,customers!$C$1:$C$1001,,0)=0,"",_xlfn.XLOOKUP(orders!C731,customers!$A$1:$A$1001,customers!$C$1:$C$1001,,0))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6">
        <f t="shared" si="33"/>
        <v>4.3650000000000002</v>
      </c>
      <c r="N731" t="str">
        <f t="shared" si="34"/>
        <v>Liberica</v>
      </c>
      <c r="O731"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f>_xlfn.XLOOKUP(orders!C732,customers!$A$1:$A$1001,customers!$B$1:$B$1001,,0)</f>
        <v>Andie Rudram</v>
      </c>
      <c r="G732" s="2" t="str">
        <f>IF(_xlfn.XLOOKUP(orders!C732,customers!$A$1:$A$1001,customers!$C$1:$C$1001,,0)=0,"",_xlfn.XLOOKUP(orders!C732,customers!$A$1:$A$1001,customers!$C$1:$C$1001,,0))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6">
        <f t="shared" si="33"/>
        <v>36.454999999999998</v>
      </c>
      <c r="N732" t="str">
        <f t="shared" si="34"/>
        <v>Liberica</v>
      </c>
      <c r="O73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f>_xlfn.XLOOKUP(orders!C733,customers!$A$1:$A$1001,customers!$B$1:$B$1001,,0)</f>
        <v>Leta Clarricoates</v>
      </c>
      <c r="G733" s="2" t="str">
        <f>IF(_xlfn.XLOOKUP(orders!C733,customers!$A$1:$A$1001,customers!$C$1:$C$1001,,0)=0,"",_xlfn.XLOOKUP(orders!C733,customers!$A$1:$A$1001,customers!$C$1:$C$1001,,0))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6">
        <f t="shared" si="33"/>
        <v>15.54</v>
      </c>
      <c r="N733" t="str">
        <f t="shared" si="34"/>
        <v>Liberica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_xlfn.XLOOKUP(orders!C734,customers!$A$1:$A$1001,customers!$B$1:$B$1001,,0)</f>
        <v>Jacquelyn Maha</v>
      </c>
      <c r="G734" s="2" t="str">
        <f>IF(_xlfn.XLOOKUP(orders!C734,customers!$A$1:$A$1001,customers!$C$1:$C$1001,,0)=0,"",_xlfn.XLOOKUP(orders!C734,customers!$A$1:$A$1001,customers!$C$1:$C$1001,,0))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6">
        <f t="shared" si="33"/>
        <v>8.91</v>
      </c>
      <c r="N734" t="str">
        <f t="shared" si="34"/>
        <v>Excelsa</v>
      </c>
      <c r="O734"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f>_xlfn.XLOOKUP(orders!C735,customers!$A$1:$A$1001,customers!$B$1:$B$1001,,0)</f>
        <v>Glory Clemon</v>
      </c>
      <c r="G735" s="2" t="str">
        <f>IF(_xlfn.XLOOKUP(orders!C735,customers!$A$1:$A$1001,customers!$C$1:$C$1001,,0)=0,"",_xlfn.XLOOKUP(orders!C735,customers!$A$1:$A$1001,customers!$C$1:$C$1001,,0))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6">
        <f t="shared" si="33"/>
        <v>100.39499999999998</v>
      </c>
      <c r="N735" t="str">
        <f t="shared" si="34"/>
        <v>Liberica</v>
      </c>
      <c r="O735"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f>_xlfn.XLOOKUP(orders!C736,customers!$A$1:$A$1001,customers!$B$1:$B$1001,,0)</f>
        <v>Alica Kift</v>
      </c>
      <c r="G736" s="2" t="str">
        <f>IF(_xlfn.XLOOKUP(orders!C736,customers!$A$1:$A$1001,customers!$C$1:$C$1001,,0)=0,"",_xlfn.XLOOKUP(orders!C736,customers!$A$1:$A$1001,customers!$C$1:$C$1001,,0))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6">
        <f t="shared" si="33"/>
        <v>13.424999999999997</v>
      </c>
      <c r="N736" t="str">
        <f t="shared" si="34"/>
        <v>Robusta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_xlfn.XLOOKUP(orders!C737,customers!$A$1:$A$1001,customers!$B$1:$B$1001,,0)</f>
        <v>Babb Pollins</v>
      </c>
      <c r="G737" s="2" t="str">
        <f>IF(_xlfn.XLOOKUP(orders!C737,customers!$A$1:$A$1001,customers!$C$1:$C$1001,,0)=0,"",_xlfn.XLOOKUP(orders!C737,customers!$A$1:$A$1001,customers!$C$1:$C$1001,,0))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6">
        <f t="shared" si="33"/>
        <v>21.87</v>
      </c>
      <c r="N737" t="str">
        <f t="shared" si="34"/>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_xlfn.XLOOKUP(orders!C738,customers!$A$1:$A$1001,customers!$B$1:$B$1001,,0)</f>
        <v>Jarret Toye</v>
      </c>
      <c r="G738" s="2" t="str">
        <f>IF(_xlfn.XLOOKUP(orders!C738,customers!$A$1:$A$1001,customers!$C$1:$C$1001,,0)=0,"",_xlfn.XLOOKUP(orders!C738,customers!$A$1:$A$1001,customers!$C$1:$C$1001,,0))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6">
        <f t="shared" si="33"/>
        <v>25.9</v>
      </c>
      <c r="N738" t="str">
        <f t="shared" si="34"/>
        <v>Liberica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_xlfn.XLOOKUP(orders!C739,customers!$A$1:$A$1001,customers!$B$1:$B$1001,,0)</f>
        <v>Carlie Linskill</v>
      </c>
      <c r="G739" s="2" t="str">
        <f>IF(_xlfn.XLOOKUP(orders!C739,customers!$A$1:$A$1001,customers!$C$1:$C$1001,,0)=0,"",_xlfn.XLOOKUP(orders!C739,customers!$A$1:$A$1001,customers!$C$1:$C$1001,,0))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6">
        <f t="shared" si="33"/>
        <v>56.25</v>
      </c>
      <c r="N739" t="str">
        <f t="shared" si="34"/>
        <v>Arabica</v>
      </c>
      <c r="O739"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f>_xlfn.XLOOKUP(orders!C740,customers!$A$1:$A$1001,customers!$B$1:$B$1001,,0)</f>
        <v>Natal Vigrass</v>
      </c>
      <c r="G740" s="2" t="str">
        <f>IF(_xlfn.XLOOKUP(orders!C740,customers!$A$1:$A$1001,customers!$C$1:$C$1001,,0)=0,"",_xlfn.XLOOKUP(orders!C740,customers!$A$1:$A$1001,customers!$C$1:$C$1001,,0))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6">
        <f t="shared" si="33"/>
        <v>10.754999999999999</v>
      </c>
      <c r="N740" t="str">
        <f t="shared" si="34"/>
        <v>Robusta</v>
      </c>
      <c r="O740"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f>_xlfn.XLOOKUP(orders!C741,customers!$A$1:$A$1001,customers!$B$1:$B$1001,,0)</f>
        <v>Jimmy Dymoke</v>
      </c>
      <c r="G741" s="2" t="str">
        <f>IF(_xlfn.XLOOKUP(orders!C741,customers!$A$1:$A$1001,customers!$C$1:$C$1001,,0)=0,"",_xlfn.XLOOKUP(orders!C741,customers!$A$1:$A$1001,customers!$C$1:$C$1001,,0))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6">
        <f t="shared" si="33"/>
        <v>18.225000000000001</v>
      </c>
      <c r="N741" t="str">
        <f t="shared" si="34"/>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_xlfn.XLOOKUP(orders!C742,customers!$A$1:$A$1001,customers!$B$1:$B$1001,,0)</f>
        <v>Kandace Cragell</v>
      </c>
      <c r="G742" s="2" t="str">
        <f>IF(_xlfn.XLOOKUP(orders!C742,customers!$A$1:$A$1001,customers!$C$1:$C$1001,,0)=0,"",_xlfn.XLOOKUP(orders!C742,customers!$A$1:$A$1001,customers!$C$1:$C$1001,,0))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6">
        <f t="shared" si="33"/>
        <v>28.679999999999996</v>
      </c>
      <c r="N742" t="str">
        <f t="shared" si="34"/>
        <v>Robusta</v>
      </c>
      <c r="O74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f>_xlfn.XLOOKUP(orders!C743,customers!$A$1:$A$1001,customers!$B$1:$B$1001,,0)</f>
        <v>Lyon Ibert</v>
      </c>
      <c r="G743" s="2" t="str">
        <f>IF(_xlfn.XLOOKUP(orders!C743,customers!$A$1:$A$1001,customers!$C$1:$C$1001,,0)=0,"",_xlfn.XLOOKUP(orders!C743,customers!$A$1:$A$1001,customers!$C$1:$C$1001,,0))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6">
        <f t="shared" si="33"/>
        <v>8.73</v>
      </c>
      <c r="N743" t="str">
        <f t="shared" si="34"/>
        <v>Liberica</v>
      </c>
      <c r="O743"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f>_xlfn.XLOOKUP(orders!C744,customers!$A$1:$A$1001,customers!$B$1:$B$1001,,0)</f>
        <v>Reese Lidgey</v>
      </c>
      <c r="G744" s="2" t="str">
        <f>IF(_xlfn.XLOOKUP(orders!C744,customers!$A$1:$A$1001,customers!$C$1:$C$1001,,0)=0,"",_xlfn.XLOOKUP(orders!C744,customers!$A$1:$A$1001,customers!$C$1:$C$1001,,0))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6">
        <f t="shared" si="33"/>
        <v>58.2</v>
      </c>
      <c r="N744" t="str">
        <f t="shared" si="34"/>
        <v>Liberica</v>
      </c>
      <c r="O744"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f>_xlfn.XLOOKUP(orders!C745,customers!$A$1:$A$1001,customers!$B$1:$B$1001,,0)</f>
        <v>Tersina Castagne</v>
      </c>
      <c r="G745" s="2" t="str">
        <f>IF(_xlfn.XLOOKUP(orders!C745,customers!$A$1:$A$1001,customers!$C$1:$C$1001,,0)=0,"",_xlfn.XLOOKUP(orders!C745,customers!$A$1:$A$1001,customers!$C$1:$C$1001,,0))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6">
        <f t="shared" si="33"/>
        <v>17.91</v>
      </c>
      <c r="N745" t="str">
        <f t="shared" si="34"/>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_xlfn.XLOOKUP(orders!C746,customers!$A$1:$A$1001,customers!$B$1:$B$1001,,0)</f>
        <v>Samuele Klaaassen</v>
      </c>
      <c r="G746" s="2" t="str">
        <f>IF(_xlfn.XLOOKUP(orders!C746,customers!$A$1:$A$1001,customers!$C$1:$C$1001,,0)=0,"",_xlfn.XLOOKUP(orders!C746,customers!$A$1:$A$1001,customers!$C$1:$C$1001,,0))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6">
        <f t="shared" si="33"/>
        <v>17.91</v>
      </c>
      <c r="N746" t="str">
        <f t="shared" si="34"/>
        <v>Robusta</v>
      </c>
      <c r="O746"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f>_xlfn.XLOOKUP(orders!C747,customers!$A$1:$A$1001,customers!$B$1:$B$1001,,0)</f>
        <v>Jordana Halden</v>
      </c>
      <c r="G747" s="2" t="str">
        <f>IF(_xlfn.XLOOKUP(orders!C747,customers!$A$1:$A$1001,customers!$C$1:$C$1001,,0)=0,"",_xlfn.XLOOKUP(orders!C747,customers!$A$1:$A$1001,customers!$C$1:$C$1001,,0))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6">
        <f t="shared" si="33"/>
        <v>14.58</v>
      </c>
      <c r="N747" t="str">
        <f t="shared" si="34"/>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_xlfn.XLOOKUP(orders!C748,customers!$A$1:$A$1001,customers!$B$1:$B$1001,,0)</f>
        <v>Hussein Olliff</v>
      </c>
      <c r="G748" s="2" t="str">
        <f>IF(_xlfn.XLOOKUP(orders!C748,customers!$A$1:$A$1001,customers!$C$1:$C$1001,,0)=0,"",_xlfn.XLOOKUP(orders!C748,customers!$A$1:$A$1001,customers!$C$1:$C$1001,,0))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6">
        <f t="shared" si="33"/>
        <v>33.75</v>
      </c>
      <c r="N748" t="str">
        <f t="shared" si="34"/>
        <v>Arabica</v>
      </c>
      <c r="O748"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f>_xlfn.XLOOKUP(orders!C749,customers!$A$1:$A$1001,customers!$B$1:$B$1001,,0)</f>
        <v>Teddi Quadri</v>
      </c>
      <c r="G749" s="2" t="str">
        <f>IF(_xlfn.XLOOKUP(orders!C749,customers!$A$1:$A$1001,customers!$C$1:$C$1001,,0)=0,"",_xlfn.XLOOKUP(orders!C749,customers!$A$1:$A$1001,customers!$C$1:$C$1001,,0))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6">
        <f t="shared" si="33"/>
        <v>34.92</v>
      </c>
      <c r="N749" t="str">
        <f t="shared" si="34"/>
        <v>Liberica</v>
      </c>
      <c r="O749"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f>_xlfn.XLOOKUP(orders!C750,customers!$A$1:$A$1001,customers!$B$1:$B$1001,,0)</f>
        <v>Felita Eshmade</v>
      </c>
      <c r="G750" s="2" t="str">
        <f>IF(_xlfn.XLOOKUP(orders!C750,customers!$A$1:$A$1001,customers!$C$1:$C$1001,,0)=0,"",_xlfn.XLOOKUP(orders!C750,customers!$A$1:$A$1001,customers!$C$1:$C$1001,,0))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6">
        <f t="shared" si="33"/>
        <v>14.58</v>
      </c>
      <c r="N750" t="str">
        <f t="shared" si="34"/>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_xlfn.XLOOKUP(orders!C751,customers!$A$1:$A$1001,customers!$B$1:$B$1001,,0)</f>
        <v>Melodie OIlier</v>
      </c>
      <c r="G751" s="2" t="str">
        <f>IF(_xlfn.XLOOKUP(orders!C751,customers!$A$1:$A$1001,customers!$C$1:$C$1001,,0)=0,"",_xlfn.XLOOKUP(orders!C751,customers!$A$1:$A$1001,customers!$C$1:$C$1001,,0))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6">
        <f t="shared" si="33"/>
        <v>5.3699999999999992</v>
      </c>
      <c r="N751" t="str">
        <f t="shared" si="34"/>
        <v>Robusta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_xlfn.XLOOKUP(orders!C752,customers!$A$1:$A$1001,customers!$B$1:$B$1001,,0)</f>
        <v>Hazel Iacopini</v>
      </c>
      <c r="G752" s="2" t="str">
        <f>IF(_xlfn.XLOOKUP(orders!C752,customers!$A$1:$A$1001,customers!$C$1:$C$1001,,0)=0,"",_xlfn.XLOOKUP(orders!C752,customers!$A$1:$A$1001,customers!$C$1:$C$1001,,0))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6">
        <f t="shared" si="33"/>
        <v>5.97</v>
      </c>
      <c r="N752" t="str">
        <f t="shared" si="34"/>
        <v>Robusta</v>
      </c>
      <c r="O75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f>_xlfn.XLOOKUP(orders!C753,customers!$A$1:$A$1001,customers!$B$1:$B$1001,,0)</f>
        <v>Vinny Shoebotham</v>
      </c>
      <c r="G753" s="2" t="str">
        <f>IF(_xlfn.XLOOKUP(orders!C753,customers!$A$1:$A$1001,customers!$C$1:$C$1001,,0)=0,"",_xlfn.XLOOKUP(orders!C753,customers!$A$1:$A$1001,customers!$C$1:$C$1001,,0))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6">
        <f t="shared" si="33"/>
        <v>19.02</v>
      </c>
      <c r="N753" t="str">
        <f t="shared" si="34"/>
        <v>Liberica</v>
      </c>
      <c r="O753"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f>_xlfn.XLOOKUP(orders!C754,customers!$A$1:$A$1001,customers!$B$1:$B$1001,,0)</f>
        <v>Bran Sterke</v>
      </c>
      <c r="G754" s="2" t="str">
        <f>IF(_xlfn.XLOOKUP(orders!C754,customers!$A$1:$A$1001,customers!$C$1:$C$1001,,0)=0,"",_xlfn.XLOOKUP(orders!C754,customers!$A$1:$A$1001,customers!$C$1:$C$1001,,0))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6">
        <f t="shared" si="33"/>
        <v>27.5</v>
      </c>
      <c r="N754" t="str">
        <f t="shared" si="34"/>
        <v>Excelsa</v>
      </c>
      <c r="O754"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f>_xlfn.XLOOKUP(orders!C755,customers!$A$1:$A$1001,customers!$B$1:$B$1001,,0)</f>
        <v>Simone Capon</v>
      </c>
      <c r="G755" s="2" t="str">
        <f>IF(_xlfn.XLOOKUP(orders!C755,customers!$A$1:$A$1001,customers!$C$1:$C$1001,,0)=0,"",_xlfn.XLOOKUP(orders!C755,customers!$A$1:$A$1001,customers!$C$1:$C$1001,,0))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6">
        <f t="shared" si="33"/>
        <v>29.849999999999998</v>
      </c>
      <c r="N755" t="str">
        <f t="shared" si="34"/>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_xlfn.XLOOKUP(orders!C756,customers!$A$1:$A$1001,customers!$B$1:$B$1001,,0)</f>
        <v>Jimmy Dymoke</v>
      </c>
      <c r="G756" s="2" t="str">
        <f>IF(_xlfn.XLOOKUP(orders!C756,customers!$A$1:$A$1001,customers!$C$1:$C$1001,,0)=0,"",_xlfn.XLOOKUP(orders!C756,customers!$A$1:$A$1001,customers!$C$1:$C$1001,,0))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6">
        <f t="shared" si="33"/>
        <v>17.91</v>
      </c>
      <c r="N756" t="str">
        <f t="shared" si="34"/>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_xlfn.XLOOKUP(orders!C757,customers!$A$1:$A$1001,customers!$B$1:$B$1001,,0)</f>
        <v>Foster Constance</v>
      </c>
      <c r="G757" s="2" t="str">
        <f>IF(_xlfn.XLOOKUP(orders!C757,customers!$A$1:$A$1001,customers!$C$1:$C$1001,,0)=0,"",_xlfn.XLOOKUP(orders!C757,customers!$A$1:$A$1001,customers!$C$1:$C$1001,,0))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6">
        <f t="shared" si="33"/>
        <v>28.53</v>
      </c>
      <c r="N757" t="str">
        <f t="shared" si="34"/>
        <v>Liberica</v>
      </c>
      <c r="O757"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f>_xlfn.XLOOKUP(orders!C758,customers!$A$1:$A$1001,customers!$B$1:$B$1001,,0)</f>
        <v>Fernando Sulman</v>
      </c>
      <c r="G758" s="2" t="str">
        <f>IF(_xlfn.XLOOKUP(orders!C758,customers!$A$1:$A$1001,customers!$C$1:$C$1001,,0)=0,"",_xlfn.XLOOKUP(orders!C758,customers!$A$1:$A$1001,customers!$C$1:$C$1001,,0))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6">
        <f t="shared" si="33"/>
        <v>35.799999999999997</v>
      </c>
      <c r="N758" t="str">
        <f t="shared" si="34"/>
        <v>Robusta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_xlfn.XLOOKUP(orders!C759,customers!$A$1:$A$1001,customers!$B$1:$B$1001,,0)</f>
        <v>Dorotea Hollyman</v>
      </c>
      <c r="G759" s="2" t="str">
        <f>IF(_xlfn.XLOOKUP(orders!C759,customers!$A$1:$A$1001,customers!$C$1:$C$1001,,0)=0,"",_xlfn.XLOOKUP(orders!C759,customers!$A$1:$A$1001,customers!$C$1:$C$1001,,0))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6">
        <f t="shared" si="33"/>
        <v>17.91</v>
      </c>
      <c r="N759" t="str">
        <f t="shared" si="34"/>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_xlfn.XLOOKUP(orders!C760,customers!$A$1:$A$1001,customers!$B$1:$B$1001,,0)</f>
        <v>Lorelei Nardoni</v>
      </c>
      <c r="G760" s="2" t="str">
        <f>IF(_xlfn.XLOOKUP(orders!C760,customers!$A$1:$A$1001,customers!$C$1:$C$1001,,0)=0,"",_xlfn.XLOOKUP(orders!C760,customers!$A$1:$A$1001,customers!$C$1:$C$1001,,0))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6">
        <f t="shared" si="33"/>
        <v>8.9499999999999993</v>
      </c>
      <c r="N760" t="str">
        <f t="shared" si="34"/>
        <v>Robusta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_xlfn.XLOOKUP(orders!C761,customers!$A$1:$A$1001,customers!$B$1:$B$1001,,0)</f>
        <v>Dallas Yarham</v>
      </c>
      <c r="G761" s="2" t="str">
        <f>IF(_xlfn.XLOOKUP(orders!C761,customers!$A$1:$A$1001,customers!$C$1:$C$1001,,0)=0,"",_xlfn.XLOOKUP(orders!C761,customers!$A$1:$A$1001,customers!$C$1:$C$1001,,0))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6">
        <f t="shared" si="33"/>
        <v>29.784999999999997</v>
      </c>
      <c r="N761" t="str">
        <f t="shared" si="34"/>
        <v>Liberica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_xlfn.XLOOKUP(orders!C762,customers!$A$1:$A$1001,customers!$B$1:$B$1001,,0)</f>
        <v>Arlana Ferrea</v>
      </c>
      <c r="G762" s="2" t="str">
        <f>IF(_xlfn.XLOOKUP(orders!C762,customers!$A$1:$A$1001,customers!$C$1:$C$1001,,0)=0,"",_xlfn.XLOOKUP(orders!C762,customers!$A$1:$A$1001,customers!$C$1:$C$1001,,0))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6">
        <f t="shared" si="33"/>
        <v>44.55</v>
      </c>
      <c r="N762" t="str">
        <f t="shared" si="34"/>
        <v>Excelsa</v>
      </c>
      <c r="O76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f>_xlfn.XLOOKUP(orders!C763,customers!$A$1:$A$1001,customers!$B$1:$B$1001,,0)</f>
        <v>Chuck Kendrick</v>
      </c>
      <c r="G763" s="2" t="str">
        <f>IF(_xlfn.XLOOKUP(orders!C763,customers!$A$1:$A$1001,customers!$C$1:$C$1001,,0)=0,"",_xlfn.XLOOKUP(orders!C763,customers!$A$1:$A$1001,customers!$C$1:$C$1001,,0))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6">
        <f t="shared" si="33"/>
        <v>89.1</v>
      </c>
      <c r="N763" t="str">
        <f t="shared" si="34"/>
        <v>Excelsa</v>
      </c>
      <c r="O763"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f>_xlfn.XLOOKUP(orders!C764,customers!$A$1:$A$1001,customers!$B$1:$B$1001,,0)</f>
        <v>Sharona Danilchik</v>
      </c>
      <c r="G764" s="2" t="str">
        <f>IF(_xlfn.XLOOKUP(orders!C764,customers!$A$1:$A$1001,customers!$C$1:$C$1001,,0)=0,"",_xlfn.XLOOKUP(orders!C764,customers!$A$1:$A$1001,customers!$C$1:$C$1001,,0))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6">
        <f t="shared" si="33"/>
        <v>43.650000000000006</v>
      </c>
      <c r="N764" t="str">
        <f t="shared" si="34"/>
        <v>Liberica</v>
      </c>
      <c r="O764"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f>_xlfn.XLOOKUP(orders!C765,customers!$A$1:$A$1001,customers!$B$1:$B$1001,,0)</f>
        <v>Sarajane Potter</v>
      </c>
      <c r="G765" s="2" t="str">
        <f>IF(_xlfn.XLOOKUP(orders!C765,customers!$A$1:$A$1001,customers!$C$1:$C$1001,,0)=0,"",_xlfn.XLOOKUP(orders!C765,customers!$A$1:$A$1001,customers!$C$1:$C$1001,,0))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6">
        <f t="shared" si="33"/>
        <v>23.31</v>
      </c>
      <c r="N765" t="str">
        <f t="shared" si="34"/>
        <v>Arabica</v>
      </c>
      <c r="O765"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f>_xlfn.XLOOKUP(orders!C766,customers!$A$1:$A$1001,customers!$B$1:$B$1001,,0)</f>
        <v>Bobby Folomkin</v>
      </c>
      <c r="G766" s="2" t="str">
        <f>IF(_xlfn.XLOOKUP(orders!C766,customers!$A$1:$A$1001,customers!$C$1:$C$1001,,0)=0,"",_xlfn.XLOOKUP(orders!C766,customers!$A$1:$A$1001,customers!$C$1:$C$1001,,0))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6">
        <f t="shared" si="33"/>
        <v>178.70999999999998</v>
      </c>
      <c r="N766" t="str">
        <f t="shared" si="34"/>
        <v>Arabica</v>
      </c>
      <c r="O766"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f>_xlfn.XLOOKUP(orders!C767,customers!$A$1:$A$1001,customers!$B$1:$B$1001,,0)</f>
        <v>Rafferty Pursglove</v>
      </c>
      <c r="G767" s="2" t="str">
        <f>IF(_xlfn.XLOOKUP(orders!C767,customers!$A$1:$A$1001,customers!$C$1:$C$1001,,0)=0,"",_xlfn.XLOOKUP(orders!C767,customers!$A$1:$A$1001,customers!$C$1:$C$1001,,0))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6">
        <f t="shared" si="33"/>
        <v>59.699999999999996</v>
      </c>
      <c r="N767" t="str">
        <f t="shared" si="34"/>
        <v>Robusta</v>
      </c>
      <c r="O767"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f>_xlfn.XLOOKUP(orders!C768,customers!$A$1:$A$1001,customers!$B$1:$B$1001,,0)</f>
        <v>Rafferty Pursglove</v>
      </c>
      <c r="G768" s="2" t="str">
        <f>IF(_xlfn.XLOOKUP(orders!C768,customers!$A$1:$A$1001,customers!$C$1:$C$1001,,0)=0,"",_xlfn.XLOOKUP(orders!C768,customers!$A$1:$A$1001,customers!$C$1:$C$1001,,0))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6">
        <f t="shared" si="33"/>
        <v>15.54</v>
      </c>
      <c r="N768" t="str">
        <f t="shared" si="34"/>
        <v>Arabica</v>
      </c>
      <c r="O768"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f>_xlfn.XLOOKUP(orders!C769,customers!$A$1:$A$1001,customers!$B$1:$B$1001,,0)</f>
        <v>Foster Constance</v>
      </c>
      <c r="G769" s="2" t="str">
        <f>IF(_xlfn.XLOOKUP(orders!C769,customers!$A$1:$A$1001,customers!$C$1:$C$1001,,0)=0,"",_xlfn.XLOOKUP(orders!C769,customers!$A$1:$A$1001,customers!$C$1:$C$1001,,0))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6">
        <f t="shared" si="33"/>
        <v>89.35499999999999</v>
      </c>
      <c r="N769" t="str">
        <f t="shared" si="34"/>
        <v>Arabica</v>
      </c>
      <c r="O769"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f>_xlfn.XLOOKUP(orders!C770,customers!$A$1:$A$1001,customers!$B$1:$B$1001,,0)</f>
        <v>Foster Constance</v>
      </c>
      <c r="G770" s="2" t="str">
        <f>IF(_xlfn.XLOOKUP(orders!C770,customers!$A$1:$A$1001,customers!$C$1:$C$1001,,0)=0,"",_xlfn.XLOOKUP(orders!C770,customers!$A$1:$A$1001,customers!$C$1:$C$1001,,0))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6">
        <f t="shared" si="33"/>
        <v>23.9</v>
      </c>
      <c r="N770" t="str">
        <f t="shared" si="34"/>
        <v>Robusta</v>
      </c>
      <c r="O770"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f>_xlfn.XLOOKUP(orders!C771,customers!$A$1:$A$1001,customers!$B$1:$B$1001,,0)</f>
        <v>Dalia Eburah</v>
      </c>
      <c r="G771" s="2" t="str">
        <f>IF(_xlfn.XLOOKUP(orders!C771,customers!$A$1:$A$1001,customers!$C$1:$C$1001,,0)=0,"",_xlfn.XLOOKUP(orders!C771,customers!$A$1:$A$1001,customers!$C$1:$C$1001,,0))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6">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_xlfn.XLOOKUP(orders!C772,customers!$A$1:$A$1001,customers!$B$1:$B$1001,,0)</f>
        <v>Martie Brimilcombe</v>
      </c>
      <c r="G772" s="2" t="str">
        <f>IF(_xlfn.XLOOKUP(orders!C772,customers!$A$1:$A$1001,customers!$C$1:$C$1001,,0)=0,"",_xlfn.XLOOKUP(orders!C772,customers!$A$1:$A$1001,customers!$C$1:$C$1001,,0))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6">
        <f t="shared" si="36"/>
        <v>9.9499999999999993</v>
      </c>
      <c r="N772" t="str">
        <f t="shared" si="37"/>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_xlfn.XLOOKUP(orders!C773,customers!$A$1:$A$1001,customers!$B$1:$B$1001,,0)</f>
        <v>Suzanna Bollam</v>
      </c>
      <c r="G773" s="2" t="str">
        <f>IF(_xlfn.XLOOKUP(orders!C773,customers!$A$1:$A$1001,customers!$C$1:$C$1001,,0)=0,"",_xlfn.XLOOKUP(orders!C773,customers!$A$1:$A$1001,customers!$C$1:$C$1001,,0))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6">
        <f t="shared" si="36"/>
        <v>21.509999999999998</v>
      </c>
      <c r="N773" t="str">
        <f t="shared" si="37"/>
        <v>Robusta</v>
      </c>
      <c r="O773"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f>_xlfn.XLOOKUP(orders!C774,customers!$A$1:$A$1001,customers!$B$1:$B$1001,,0)</f>
        <v>Mellisa Mebes</v>
      </c>
      <c r="G774" s="2" t="str">
        <f>IF(_xlfn.XLOOKUP(orders!C774,customers!$A$1:$A$1001,customers!$C$1:$C$1001,,0)=0,"",_xlfn.XLOOKUP(orders!C774,customers!$A$1:$A$1001,customers!$C$1:$C$1001,,0))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6">
        <f t="shared" si="36"/>
        <v>82.5</v>
      </c>
      <c r="N774" t="str">
        <f t="shared" si="37"/>
        <v>Excelsa</v>
      </c>
      <c r="O774"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f>_xlfn.XLOOKUP(orders!C775,customers!$A$1:$A$1001,customers!$B$1:$B$1001,,0)</f>
        <v>Alva Filipczak</v>
      </c>
      <c r="G775" s="2" t="str">
        <f>IF(_xlfn.XLOOKUP(orders!C775,customers!$A$1:$A$1001,customers!$C$1:$C$1001,,0)=0,"",_xlfn.XLOOKUP(orders!C775,customers!$A$1:$A$1001,customers!$C$1:$C$1001,,0))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6">
        <f t="shared" si="36"/>
        <v>8.73</v>
      </c>
      <c r="N775" t="str">
        <f t="shared" si="37"/>
        <v>Liberica</v>
      </c>
      <c r="O775"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f>_xlfn.XLOOKUP(orders!C776,customers!$A$1:$A$1001,customers!$B$1:$B$1001,,0)</f>
        <v>Dorette Hinemoor</v>
      </c>
      <c r="G776" s="2" t="str">
        <f>IF(_xlfn.XLOOKUP(orders!C776,customers!$A$1:$A$1001,customers!$C$1:$C$1001,,0)=0,"",_xlfn.XLOOKUP(orders!C776,customers!$A$1:$A$1001,customers!$C$1:$C$1001,,0))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6">
        <f t="shared" si="36"/>
        <v>19.899999999999999</v>
      </c>
      <c r="N776" t="str">
        <f t="shared" si="37"/>
        <v>Robusta</v>
      </c>
      <c r="O776"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f>_xlfn.XLOOKUP(orders!C777,customers!$A$1:$A$1001,customers!$B$1:$B$1001,,0)</f>
        <v>Rhetta Elnaugh</v>
      </c>
      <c r="G777" s="2" t="str">
        <f>IF(_xlfn.XLOOKUP(orders!C777,customers!$A$1:$A$1001,customers!$C$1:$C$1001,,0)=0,"",_xlfn.XLOOKUP(orders!C777,customers!$A$1:$A$1001,customers!$C$1:$C$1001,,0))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6">
        <f t="shared" si="36"/>
        <v>17.82</v>
      </c>
      <c r="N777" t="str">
        <f t="shared" si="37"/>
        <v>Excelsa</v>
      </c>
      <c r="O777"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f>_xlfn.XLOOKUP(orders!C778,customers!$A$1:$A$1001,customers!$B$1:$B$1001,,0)</f>
        <v>Jule Deehan</v>
      </c>
      <c r="G778" s="2" t="str">
        <f>IF(_xlfn.XLOOKUP(orders!C778,customers!$A$1:$A$1001,customers!$C$1:$C$1001,,0)=0,"",_xlfn.XLOOKUP(orders!C778,customers!$A$1:$A$1001,customers!$C$1:$C$1001,,0))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6">
        <f t="shared" si="36"/>
        <v>20.25</v>
      </c>
      <c r="N778" t="str">
        <f t="shared" si="37"/>
        <v>Arabica</v>
      </c>
      <c r="O778"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f>_xlfn.XLOOKUP(orders!C779,customers!$A$1:$A$1001,customers!$B$1:$B$1001,,0)</f>
        <v>Janella Eden</v>
      </c>
      <c r="G779" s="2" t="str">
        <f>IF(_xlfn.XLOOKUP(orders!C779,customers!$A$1:$A$1001,customers!$C$1:$C$1001,,0)=0,"",_xlfn.XLOOKUP(orders!C779,customers!$A$1:$A$1001,customers!$C$1:$C$1001,,0))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6">
        <f t="shared" si="36"/>
        <v>59.569999999999993</v>
      </c>
      <c r="N779" t="str">
        <f t="shared" si="37"/>
        <v>Arabica</v>
      </c>
      <c r="O779"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f>_xlfn.XLOOKUP(orders!C780,customers!$A$1:$A$1001,customers!$B$1:$B$1001,,0)</f>
        <v>Cam Jewster</v>
      </c>
      <c r="G780" s="2" t="str">
        <f>IF(_xlfn.XLOOKUP(orders!C780,customers!$A$1:$A$1001,customers!$C$1:$C$1001,,0)=0,"",_xlfn.XLOOKUP(orders!C780,customers!$A$1:$A$1001,customers!$C$1:$C$1001,,0))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6">
        <f t="shared" si="36"/>
        <v>19.02</v>
      </c>
      <c r="N780" t="str">
        <f t="shared" si="37"/>
        <v>Liberica</v>
      </c>
      <c r="O780"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f>_xlfn.XLOOKUP(orders!C781,customers!$A$1:$A$1001,customers!$B$1:$B$1001,,0)</f>
        <v>Ugo Southerden</v>
      </c>
      <c r="G781" s="2" t="str">
        <f>IF(_xlfn.XLOOKUP(orders!C781,customers!$A$1:$A$1001,customers!$C$1:$C$1001,,0)=0,"",_xlfn.XLOOKUP(orders!C781,customers!$A$1:$A$1001,customers!$C$1:$C$1001,,0))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6">
        <f t="shared" si="36"/>
        <v>77.699999999999989</v>
      </c>
      <c r="N781" t="str">
        <f t="shared" si="37"/>
        <v>Liberica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_xlfn.XLOOKUP(orders!C782,customers!$A$1:$A$1001,customers!$B$1:$B$1001,,0)</f>
        <v>Verne Dunkerley</v>
      </c>
      <c r="G782" s="2" t="str">
        <f>IF(_xlfn.XLOOKUP(orders!C782,customers!$A$1:$A$1001,customers!$C$1:$C$1001,,0)=0,"",_xlfn.XLOOKUP(orders!C782,customers!$A$1:$A$1001,customers!$C$1:$C$1001,,0))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6">
        <f t="shared" si="36"/>
        <v>41.25</v>
      </c>
      <c r="N782" t="str">
        <f t="shared" si="37"/>
        <v>Excelsa</v>
      </c>
      <c r="O78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f>_xlfn.XLOOKUP(orders!C783,customers!$A$1:$A$1001,customers!$B$1:$B$1001,,0)</f>
        <v>Lacee Burtenshaw</v>
      </c>
      <c r="G783" s="2" t="str">
        <f>IF(_xlfn.XLOOKUP(orders!C783,customers!$A$1:$A$1001,customers!$C$1:$C$1001,,0)=0,"",_xlfn.XLOOKUP(orders!C783,customers!$A$1:$A$1001,customers!$C$1:$C$1001,,0))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6">
        <f t="shared" si="36"/>
        <v>145.82</v>
      </c>
      <c r="N783" t="str">
        <f t="shared" si="37"/>
        <v>Liberica</v>
      </c>
      <c r="O783"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f>_xlfn.XLOOKUP(orders!C784,customers!$A$1:$A$1001,customers!$B$1:$B$1001,,0)</f>
        <v>Adorne Gregoratti</v>
      </c>
      <c r="G784" s="2" t="str">
        <f>IF(_xlfn.XLOOKUP(orders!C784,customers!$A$1:$A$1001,customers!$C$1:$C$1001,,0)=0,"",_xlfn.XLOOKUP(orders!C784,customers!$A$1:$A$1001,customers!$C$1:$C$1001,,0))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6">
        <f t="shared" si="36"/>
        <v>26.73</v>
      </c>
      <c r="N784" t="str">
        <f t="shared" si="37"/>
        <v>Excelsa</v>
      </c>
      <c r="O784"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f>_xlfn.XLOOKUP(orders!C785,customers!$A$1:$A$1001,customers!$B$1:$B$1001,,0)</f>
        <v>Chris Croster</v>
      </c>
      <c r="G785" s="2" t="str">
        <f>IF(_xlfn.XLOOKUP(orders!C785,customers!$A$1:$A$1001,customers!$C$1:$C$1001,,0)=0,"",_xlfn.XLOOKUP(orders!C785,customers!$A$1:$A$1001,customers!$C$1:$C$1001,,0))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6">
        <f t="shared" si="36"/>
        <v>43.650000000000006</v>
      </c>
      <c r="N785" t="str">
        <f t="shared" si="37"/>
        <v>Liberica</v>
      </c>
      <c r="O785"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f>_xlfn.XLOOKUP(orders!C786,customers!$A$1:$A$1001,customers!$B$1:$B$1001,,0)</f>
        <v>Graeme Whitehead</v>
      </c>
      <c r="G786" s="2" t="str">
        <f>IF(_xlfn.XLOOKUP(orders!C786,customers!$A$1:$A$1001,customers!$C$1:$C$1001,,0)=0,"",_xlfn.XLOOKUP(orders!C786,customers!$A$1:$A$1001,customers!$C$1:$C$1001,,0))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6">
        <f t="shared" si="36"/>
        <v>31.7</v>
      </c>
      <c r="N786" t="str">
        <f t="shared" si="37"/>
        <v>Liberica</v>
      </c>
      <c r="O786"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f>_xlfn.XLOOKUP(orders!C787,customers!$A$1:$A$1001,customers!$B$1:$B$1001,,0)</f>
        <v>Haslett Jodrelle</v>
      </c>
      <c r="G787" s="2" t="str">
        <f>IF(_xlfn.XLOOKUP(orders!C787,customers!$A$1:$A$1001,customers!$C$1:$C$1001,,0)=0,"",_xlfn.XLOOKUP(orders!C787,customers!$A$1:$A$1001,customers!$C$1:$C$1001,,0))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6">
        <f t="shared" si="36"/>
        <v>22.884999999999998</v>
      </c>
      <c r="N787" t="str">
        <f t="shared" si="37"/>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_xlfn.XLOOKUP(orders!C788,customers!$A$1:$A$1001,customers!$B$1:$B$1001,,0)</f>
        <v>Cam Jewster</v>
      </c>
      <c r="G788" s="2" t="str">
        <f>IF(_xlfn.XLOOKUP(orders!C788,customers!$A$1:$A$1001,customers!$C$1:$C$1001,,0)=0,"",_xlfn.XLOOKUP(orders!C788,customers!$A$1:$A$1001,customers!$C$1:$C$1001,,0))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6">
        <f t="shared" si="36"/>
        <v>27.945</v>
      </c>
      <c r="N788" t="str">
        <f t="shared" si="37"/>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_xlfn.XLOOKUP(orders!C789,customers!$A$1:$A$1001,customers!$B$1:$B$1001,,0)</f>
        <v>Beryl Osborn</v>
      </c>
      <c r="G789" s="2" t="str">
        <f>IF(_xlfn.XLOOKUP(orders!C789,customers!$A$1:$A$1001,customers!$C$1:$C$1001,,0)=0,"",_xlfn.XLOOKUP(orders!C789,customers!$A$1:$A$1001,customers!$C$1:$C$1001,,0))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6">
        <f t="shared" si="36"/>
        <v>82.5</v>
      </c>
      <c r="N789" t="str">
        <f t="shared" si="37"/>
        <v>Excelsa</v>
      </c>
      <c r="O789"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f>_xlfn.XLOOKUP(orders!C790,customers!$A$1:$A$1001,customers!$B$1:$B$1001,,0)</f>
        <v>Kaela Nottram</v>
      </c>
      <c r="G790" s="2" t="str">
        <f>IF(_xlfn.XLOOKUP(orders!C790,customers!$A$1:$A$1001,customers!$C$1:$C$1001,,0)=0,"",_xlfn.XLOOKUP(orders!C790,customers!$A$1:$A$1001,customers!$C$1:$C$1001,,0))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6">
        <f t="shared" si="36"/>
        <v>45.769999999999996</v>
      </c>
      <c r="N790" t="str">
        <f t="shared" si="37"/>
        <v>Robusta</v>
      </c>
      <c r="O790"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f>_xlfn.XLOOKUP(orders!C791,customers!$A$1:$A$1001,customers!$B$1:$B$1001,,0)</f>
        <v>Nobe Buney</v>
      </c>
      <c r="G791" s="2" t="str">
        <f>IF(_xlfn.XLOOKUP(orders!C791,customers!$A$1:$A$1001,customers!$C$1:$C$1001,,0)=0,"",_xlfn.XLOOKUP(orders!C791,customers!$A$1:$A$1001,customers!$C$1:$C$1001,,0))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6">
        <f t="shared" si="36"/>
        <v>77.699999999999989</v>
      </c>
      <c r="N791" t="str">
        <f t="shared" si="37"/>
        <v>Arabica</v>
      </c>
      <c r="O791"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f>_xlfn.XLOOKUP(orders!C792,customers!$A$1:$A$1001,customers!$B$1:$B$1001,,0)</f>
        <v>Silvan McShea</v>
      </c>
      <c r="G792" s="2" t="str">
        <f>IF(_xlfn.XLOOKUP(orders!C792,customers!$A$1:$A$1001,customers!$C$1:$C$1001,,0)=0,"",_xlfn.XLOOKUP(orders!C792,customers!$A$1:$A$1001,customers!$C$1:$C$1001,,0))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6">
        <f t="shared" si="36"/>
        <v>23.31</v>
      </c>
      <c r="N792" t="str">
        <f t="shared" si="37"/>
        <v>Arabica</v>
      </c>
      <c r="O79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f>_xlfn.XLOOKUP(orders!C793,customers!$A$1:$A$1001,customers!$B$1:$B$1001,,0)</f>
        <v>Karylin Huddart</v>
      </c>
      <c r="G793" s="2" t="str">
        <f>IF(_xlfn.XLOOKUP(orders!C793,customers!$A$1:$A$1001,customers!$C$1:$C$1001,,0)=0,"",_xlfn.XLOOKUP(orders!C793,customers!$A$1:$A$1001,customers!$C$1:$C$1001,,0))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6">
        <f t="shared" si="36"/>
        <v>23.774999999999999</v>
      </c>
      <c r="N793" t="str">
        <f t="shared" si="37"/>
        <v>Liberica</v>
      </c>
      <c r="O793"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f>_xlfn.XLOOKUP(orders!C794,customers!$A$1:$A$1001,customers!$B$1:$B$1001,,0)</f>
        <v>Jereme Gippes</v>
      </c>
      <c r="G794" s="2" t="str">
        <f>IF(_xlfn.XLOOKUP(orders!C794,customers!$A$1:$A$1001,customers!$C$1:$C$1001,,0)=0,"",_xlfn.XLOOKUP(orders!C794,customers!$A$1:$A$1001,customers!$C$1:$C$1001,,0))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6">
        <f t="shared" si="36"/>
        <v>52.38</v>
      </c>
      <c r="N794" t="str">
        <f t="shared" si="37"/>
        <v>Liberica</v>
      </c>
      <c r="O794"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f>_xlfn.XLOOKUP(orders!C795,customers!$A$1:$A$1001,customers!$B$1:$B$1001,,0)</f>
        <v>Lukas Whittlesee</v>
      </c>
      <c r="G795" s="2" t="str">
        <f>IF(_xlfn.XLOOKUP(orders!C795,customers!$A$1:$A$1001,customers!$C$1:$C$1001,,0)=0,"",_xlfn.XLOOKUP(orders!C795,customers!$A$1:$A$1001,customers!$C$1:$C$1001,,0))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6">
        <f t="shared" si="36"/>
        <v>17.924999999999997</v>
      </c>
      <c r="N795" t="str">
        <f t="shared" si="37"/>
        <v>Robusta</v>
      </c>
      <c r="O795"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f>_xlfn.XLOOKUP(orders!C796,customers!$A$1:$A$1001,customers!$B$1:$B$1001,,0)</f>
        <v>Gregorius Trengrove</v>
      </c>
      <c r="G796" s="2" t="str">
        <f>IF(_xlfn.XLOOKUP(orders!C796,customers!$A$1:$A$1001,customers!$C$1:$C$1001,,0)=0,"",_xlfn.XLOOKUP(orders!C796,customers!$A$1:$A$1001,customers!$C$1:$C$1001,,0))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6">
        <f t="shared" si="36"/>
        <v>148.92499999999998</v>
      </c>
      <c r="N796" t="str">
        <f t="shared" si="37"/>
        <v>Arabica</v>
      </c>
      <c r="O796"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f>_xlfn.XLOOKUP(orders!C797,customers!$A$1:$A$1001,customers!$B$1:$B$1001,,0)</f>
        <v>Wright Caldero</v>
      </c>
      <c r="G797" s="2" t="str">
        <f>IF(_xlfn.XLOOKUP(orders!C797,customers!$A$1:$A$1001,customers!$C$1:$C$1001,,0)=0,"",_xlfn.XLOOKUP(orders!C797,customers!$A$1:$A$1001,customers!$C$1:$C$1001,,0))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6">
        <f t="shared" si="36"/>
        <v>28.679999999999996</v>
      </c>
      <c r="N797" t="str">
        <f t="shared" si="37"/>
        <v>Robusta</v>
      </c>
      <c r="O797"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f>_xlfn.XLOOKUP(orders!C798,customers!$A$1:$A$1001,customers!$B$1:$B$1001,,0)</f>
        <v>Merell Zanazzi</v>
      </c>
      <c r="G798" s="2" t="str">
        <f>IF(_xlfn.XLOOKUP(orders!C798,customers!$A$1:$A$1001,customers!$C$1:$C$1001,,0)=0,"",_xlfn.XLOOKUP(orders!C798,customers!$A$1:$A$1001,customers!$C$1:$C$1001,,0))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6">
        <f t="shared" si="36"/>
        <v>9.51</v>
      </c>
      <c r="N798" t="str">
        <f t="shared" si="37"/>
        <v>Liberica</v>
      </c>
      <c r="O798"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f>_xlfn.XLOOKUP(orders!C799,customers!$A$1:$A$1001,customers!$B$1:$B$1001,,0)</f>
        <v>Jed Kennicott</v>
      </c>
      <c r="G799" s="2" t="str">
        <f>IF(_xlfn.XLOOKUP(orders!C799,customers!$A$1:$A$1001,customers!$C$1:$C$1001,,0)=0,"",_xlfn.XLOOKUP(orders!C799,customers!$A$1:$A$1001,customers!$C$1:$C$1001,,0))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6">
        <f t="shared" si="36"/>
        <v>31.08</v>
      </c>
      <c r="N799" t="str">
        <f t="shared" si="37"/>
        <v>Arabica</v>
      </c>
      <c r="O799"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f>_xlfn.XLOOKUP(orders!C800,customers!$A$1:$A$1001,customers!$B$1:$B$1001,,0)</f>
        <v>Guenevere Ruggen</v>
      </c>
      <c r="G800" s="2" t="str">
        <f>IF(_xlfn.XLOOKUP(orders!C800,customers!$A$1:$A$1001,customers!$C$1:$C$1001,,0)=0,"",_xlfn.XLOOKUP(orders!C800,customers!$A$1:$A$1001,customers!$C$1:$C$1001,,0))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6">
        <f t="shared" si="36"/>
        <v>8.0549999999999997</v>
      </c>
      <c r="N800" t="str">
        <f t="shared" si="37"/>
        <v>Robusta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_xlfn.XLOOKUP(orders!C801,customers!$A$1:$A$1001,customers!$B$1:$B$1001,,0)</f>
        <v>Gonzales Cicculi</v>
      </c>
      <c r="G801" s="2" t="str">
        <f>IF(_xlfn.XLOOKUP(orders!C801,customers!$A$1:$A$1001,customers!$C$1:$C$1001,,0)=0,"",_xlfn.XLOOKUP(orders!C801,customers!$A$1:$A$1001,customers!$C$1:$C$1001,,0))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6">
        <f t="shared" si="36"/>
        <v>36.450000000000003</v>
      </c>
      <c r="N801" t="str">
        <f t="shared" si="37"/>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_xlfn.XLOOKUP(orders!C802,customers!$A$1:$A$1001,customers!$B$1:$B$1001,,0)</f>
        <v>Man Fright</v>
      </c>
      <c r="G802" s="2" t="str">
        <f>IF(_xlfn.XLOOKUP(orders!C802,customers!$A$1:$A$1001,customers!$C$1:$C$1001,,0)=0,"",_xlfn.XLOOKUP(orders!C802,customers!$A$1:$A$1001,customers!$C$1:$C$1001,,0))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6">
        <f t="shared" si="36"/>
        <v>16.11</v>
      </c>
      <c r="N802" t="str">
        <f t="shared" si="37"/>
        <v>Robusta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_xlfn.XLOOKUP(orders!C803,customers!$A$1:$A$1001,customers!$B$1:$B$1001,,0)</f>
        <v>Boyce Tarte</v>
      </c>
      <c r="G803" s="2" t="str">
        <f>IF(_xlfn.XLOOKUP(orders!C803,customers!$A$1:$A$1001,customers!$C$1:$C$1001,,0)=0,"",_xlfn.XLOOKUP(orders!C803,customers!$A$1:$A$1001,customers!$C$1:$C$1001,,0))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6">
        <f t="shared" si="36"/>
        <v>41.169999999999995</v>
      </c>
      <c r="N803" t="str">
        <f t="shared" si="37"/>
        <v>Robusta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_xlfn.XLOOKUP(orders!C804,customers!$A$1:$A$1001,customers!$B$1:$B$1001,,0)</f>
        <v>Caddric Krzysztofiak</v>
      </c>
      <c r="G804" s="2" t="str">
        <f>IF(_xlfn.XLOOKUP(orders!C804,customers!$A$1:$A$1001,customers!$C$1:$C$1001,,0)=0,"",_xlfn.XLOOKUP(orders!C804,customers!$A$1:$A$1001,customers!$C$1:$C$1001,,0))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6">
        <f t="shared" si="36"/>
        <v>10.739999999999998</v>
      </c>
      <c r="N804" t="str">
        <f t="shared" si="37"/>
        <v>Robusta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_xlfn.XLOOKUP(orders!C805,customers!$A$1:$A$1001,customers!$B$1:$B$1001,,0)</f>
        <v>Darn Penquet</v>
      </c>
      <c r="G805" s="2" t="str">
        <f>IF(_xlfn.XLOOKUP(orders!C805,customers!$A$1:$A$1001,customers!$C$1:$C$1001,,0)=0,"",_xlfn.XLOOKUP(orders!C805,customers!$A$1:$A$1001,customers!$C$1:$C$1001,,0))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6">
        <f t="shared" si="36"/>
        <v>126.49999999999999</v>
      </c>
      <c r="N805" t="str">
        <f t="shared" si="37"/>
        <v>Excelsa</v>
      </c>
      <c r="O805"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f>_xlfn.XLOOKUP(orders!C806,customers!$A$1:$A$1001,customers!$B$1:$B$1001,,0)</f>
        <v>Jammie Cloke</v>
      </c>
      <c r="G806" s="2" t="str">
        <f>IF(_xlfn.XLOOKUP(orders!C806,customers!$A$1:$A$1001,customers!$C$1:$C$1001,,0)=0,"",_xlfn.XLOOKUP(orders!C806,customers!$A$1:$A$1001,customers!$C$1:$C$1001,,0))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6">
        <f t="shared" si="36"/>
        <v>23.9</v>
      </c>
      <c r="N806" t="str">
        <f t="shared" si="37"/>
        <v>Robusta</v>
      </c>
      <c r="O806"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f>_xlfn.XLOOKUP(orders!C807,customers!$A$1:$A$1001,customers!$B$1:$B$1001,,0)</f>
        <v>Chester Clowton</v>
      </c>
      <c r="G807" s="2" t="str">
        <f>IF(_xlfn.XLOOKUP(orders!C807,customers!$A$1:$A$1001,customers!$C$1:$C$1001,,0)=0,"",_xlfn.XLOOKUP(orders!C807,customers!$A$1:$A$1001,customers!$C$1:$C$1001,,0))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6">
        <f t="shared" si="36"/>
        <v>5.97</v>
      </c>
      <c r="N807" t="str">
        <f t="shared" si="37"/>
        <v>Robusta</v>
      </c>
      <c r="O807"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f>_xlfn.XLOOKUP(orders!C808,customers!$A$1:$A$1001,customers!$B$1:$B$1001,,0)</f>
        <v>Kathleen Diable</v>
      </c>
      <c r="G808" s="2" t="str">
        <f>IF(_xlfn.XLOOKUP(orders!C808,customers!$A$1:$A$1001,customers!$C$1:$C$1001,,0)=0,"",_xlfn.XLOOKUP(orders!C808,customers!$A$1:$A$1001,customers!$C$1:$C$1001,,0))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6">
        <f t="shared" si="36"/>
        <v>7.77</v>
      </c>
      <c r="N808" t="str">
        <f t="shared" si="37"/>
        <v>Liberica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_xlfn.XLOOKUP(orders!C809,customers!$A$1:$A$1001,customers!$B$1:$B$1001,,0)</f>
        <v>Koren Ferretti</v>
      </c>
      <c r="G809" s="2" t="str">
        <f>IF(_xlfn.XLOOKUP(orders!C809,customers!$A$1:$A$1001,customers!$C$1:$C$1001,,0)=0,"",_xlfn.XLOOKUP(orders!C809,customers!$A$1:$A$1001,customers!$C$1:$C$1001,,0))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6">
        <f t="shared" si="36"/>
        <v>23.31</v>
      </c>
      <c r="N809" t="str">
        <f t="shared" si="37"/>
        <v>Liberica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_xlfn.XLOOKUP(orders!C810,customers!$A$1:$A$1001,customers!$B$1:$B$1001,,0)</f>
        <v>Allis Wilmore</v>
      </c>
      <c r="G810" s="2" t="str">
        <f>IF(_xlfn.XLOOKUP(orders!C810,customers!$A$1:$A$1001,customers!$C$1:$C$1001,,0)=0,"",_xlfn.XLOOKUP(orders!C810,customers!$A$1:$A$1001,customers!$C$1:$C$1001,,0))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6">
        <f t="shared" si="36"/>
        <v>137.42499999999998</v>
      </c>
      <c r="N810" t="str">
        <f t="shared" si="37"/>
        <v>Robusta</v>
      </c>
      <c r="O810"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f>_xlfn.XLOOKUP(orders!C811,customers!$A$1:$A$1001,customers!$B$1:$B$1001,,0)</f>
        <v>Chaddie Bennie</v>
      </c>
      <c r="G811" s="2" t="str">
        <f>IF(_xlfn.XLOOKUP(orders!C811,customers!$A$1:$A$1001,customers!$C$1:$C$1001,,0)=0,"",_xlfn.XLOOKUP(orders!C811,customers!$A$1:$A$1001,customers!$C$1:$C$1001,,0))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6">
        <f t="shared" si="36"/>
        <v>8.0549999999999997</v>
      </c>
      <c r="N811" t="str">
        <f t="shared" si="37"/>
        <v>Robusta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_xlfn.XLOOKUP(orders!C812,customers!$A$1:$A$1001,customers!$B$1:$B$1001,,0)</f>
        <v>Alberta Balsdone</v>
      </c>
      <c r="G812" s="2" t="str">
        <f>IF(_xlfn.XLOOKUP(orders!C812,customers!$A$1:$A$1001,customers!$C$1:$C$1001,,0)=0,"",_xlfn.XLOOKUP(orders!C812,customers!$A$1:$A$1001,customers!$C$1:$C$1001,,0))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6">
        <f t="shared" si="36"/>
        <v>28.53</v>
      </c>
      <c r="N812" t="str">
        <f t="shared" si="37"/>
        <v>Liberica</v>
      </c>
      <c r="O81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f>_xlfn.XLOOKUP(orders!C813,customers!$A$1:$A$1001,customers!$B$1:$B$1001,,0)</f>
        <v>Brice Romera</v>
      </c>
      <c r="G813" s="2" t="str">
        <f>IF(_xlfn.XLOOKUP(orders!C813,customers!$A$1:$A$1001,customers!$C$1:$C$1001,,0)=0,"",_xlfn.XLOOKUP(orders!C813,customers!$A$1:$A$1001,customers!$C$1:$C$1001,,0))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6">
        <f t="shared" si="36"/>
        <v>67.5</v>
      </c>
      <c r="N813" t="str">
        <f t="shared" si="37"/>
        <v>Arabica</v>
      </c>
      <c r="O813"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f>_xlfn.XLOOKUP(orders!C814,customers!$A$1:$A$1001,customers!$B$1:$B$1001,,0)</f>
        <v>Brice Romera</v>
      </c>
      <c r="G814" s="2" t="str">
        <f>IF(_xlfn.XLOOKUP(orders!C814,customers!$A$1:$A$1001,customers!$C$1:$C$1001,,0)=0,"",_xlfn.XLOOKUP(orders!C814,customers!$A$1:$A$1001,customers!$C$1:$C$1001,,0))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6">
        <f t="shared" si="36"/>
        <v>178.70999999999998</v>
      </c>
      <c r="N814" t="str">
        <f t="shared" si="37"/>
        <v>Liberica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_xlfn.XLOOKUP(orders!C815,customers!$A$1:$A$1001,customers!$B$1:$B$1001,,0)</f>
        <v>Conchita Bryde</v>
      </c>
      <c r="G815" s="2" t="str">
        <f>IF(_xlfn.XLOOKUP(orders!C815,customers!$A$1:$A$1001,customers!$C$1:$C$1001,,0)=0,"",_xlfn.XLOOKUP(orders!C815,customers!$A$1:$A$1001,customers!$C$1:$C$1001,,0))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6">
        <f t="shared" si="36"/>
        <v>31.624999999999996</v>
      </c>
      <c r="N815" t="str">
        <f t="shared" si="37"/>
        <v>Excelsa</v>
      </c>
      <c r="O815"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f>_xlfn.XLOOKUP(orders!C816,customers!$A$1:$A$1001,customers!$B$1:$B$1001,,0)</f>
        <v>Silvanus Enefer</v>
      </c>
      <c r="G816" s="2" t="str">
        <f>IF(_xlfn.XLOOKUP(orders!C816,customers!$A$1:$A$1001,customers!$C$1:$C$1001,,0)=0,"",_xlfn.XLOOKUP(orders!C816,customers!$A$1:$A$1001,customers!$C$1:$C$1001,,0))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6">
        <f t="shared" si="36"/>
        <v>8.91</v>
      </c>
      <c r="N816" t="str">
        <f t="shared" si="37"/>
        <v>Excelsa</v>
      </c>
      <c r="O816"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f>_xlfn.XLOOKUP(orders!C817,customers!$A$1:$A$1001,customers!$B$1:$B$1001,,0)</f>
        <v>Lenci Haggerstone</v>
      </c>
      <c r="G817" s="2" t="str">
        <f>IF(_xlfn.XLOOKUP(orders!C817,customers!$A$1:$A$1001,customers!$C$1:$C$1001,,0)=0,"",_xlfn.XLOOKUP(orders!C817,customers!$A$1:$A$1001,customers!$C$1:$C$1001,,0))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6">
        <f t="shared" si="36"/>
        <v>35.82</v>
      </c>
      <c r="N817" t="str">
        <f t="shared" si="37"/>
        <v>Robusta</v>
      </c>
      <c r="O817"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f>_xlfn.XLOOKUP(orders!C818,customers!$A$1:$A$1001,customers!$B$1:$B$1001,,0)</f>
        <v>Marvin Gundry</v>
      </c>
      <c r="G818" s="2" t="str">
        <f>IF(_xlfn.XLOOKUP(orders!C818,customers!$A$1:$A$1001,customers!$C$1:$C$1001,,0)=0,"",_xlfn.XLOOKUP(orders!C818,customers!$A$1:$A$1001,customers!$C$1:$C$1001,,0))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6">
        <f t="shared" si="36"/>
        <v>38.04</v>
      </c>
      <c r="N818" t="str">
        <f t="shared" si="37"/>
        <v>Liberica</v>
      </c>
      <c r="O818"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f>_xlfn.XLOOKUP(orders!C819,customers!$A$1:$A$1001,customers!$B$1:$B$1001,,0)</f>
        <v>Bayard Wellan</v>
      </c>
      <c r="G819" s="2" t="str">
        <f>IF(_xlfn.XLOOKUP(orders!C819,customers!$A$1:$A$1001,customers!$C$1:$C$1001,,0)=0,"",_xlfn.XLOOKUP(orders!C819,customers!$A$1:$A$1001,customers!$C$1:$C$1001,,0))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6">
        <f t="shared" si="36"/>
        <v>15.54</v>
      </c>
      <c r="N819" t="str">
        <f t="shared" si="37"/>
        <v>Liberica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_xlfn.XLOOKUP(orders!C820,customers!$A$1:$A$1001,customers!$B$1:$B$1001,,0)</f>
        <v>Allis Wilmore</v>
      </c>
      <c r="G820" s="2" t="str">
        <f>IF(_xlfn.XLOOKUP(orders!C820,customers!$A$1:$A$1001,customers!$C$1:$C$1001,,0)=0,"",_xlfn.XLOOKUP(orders!C820,customers!$A$1:$A$1001,customers!$C$1:$C$1001,,0))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6">
        <f t="shared" si="36"/>
        <v>79.25</v>
      </c>
      <c r="N820" t="str">
        <f t="shared" si="37"/>
        <v>Liberica</v>
      </c>
      <c r="O820"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f>_xlfn.XLOOKUP(orders!C821,customers!$A$1:$A$1001,customers!$B$1:$B$1001,,0)</f>
        <v>Caddric Atcheson</v>
      </c>
      <c r="G821" s="2" t="str">
        <f>IF(_xlfn.XLOOKUP(orders!C821,customers!$A$1:$A$1001,customers!$C$1:$C$1001,,0)=0,"",_xlfn.XLOOKUP(orders!C821,customers!$A$1:$A$1001,customers!$C$1:$C$1001,,0))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6">
        <f t="shared" si="36"/>
        <v>4.7549999999999999</v>
      </c>
      <c r="N821" t="str">
        <f t="shared" si="37"/>
        <v>Liberica</v>
      </c>
      <c r="O821"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f>_xlfn.XLOOKUP(orders!C822,customers!$A$1:$A$1001,customers!$B$1:$B$1001,,0)</f>
        <v>Eustace Stenton</v>
      </c>
      <c r="G822" s="2" t="str">
        <f>IF(_xlfn.XLOOKUP(orders!C822,customers!$A$1:$A$1001,customers!$C$1:$C$1001,,0)=0,"",_xlfn.XLOOKUP(orders!C822,customers!$A$1:$A$1001,customers!$C$1:$C$1001,,0))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6">
        <f t="shared" si="36"/>
        <v>55</v>
      </c>
      <c r="N822" t="str">
        <f t="shared" si="37"/>
        <v>Excelsa</v>
      </c>
      <c r="O82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f>_xlfn.XLOOKUP(orders!C823,customers!$A$1:$A$1001,customers!$B$1:$B$1001,,0)</f>
        <v>Ericka Tripp</v>
      </c>
      <c r="G823" s="2" t="str">
        <f>IF(_xlfn.XLOOKUP(orders!C823,customers!$A$1:$A$1001,customers!$C$1:$C$1001,,0)=0,"",_xlfn.XLOOKUP(orders!C823,customers!$A$1:$A$1001,customers!$C$1:$C$1001,,0))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6">
        <f t="shared" si="36"/>
        <v>26.849999999999994</v>
      </c>
      <c r="N823" t="str">
        <f t="shared" si="37"/>
        <v>Robusta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_xlfn.XLOOKUP(orders!C824,customers!$A$1:$A$1001,customers!$B$1:$B$1001,,0)</f>
        <v>Lyndsey MacManus</v>
      </c>
      <c r="G824" s="2" t="str">
        <f>IF(_xlfn.XLOOKUP(orders!C824,customers!$A$1:$A$1001,customers!$C$1:$C$1001,,0)=0,"",_xlfn.XLOOKUP(orders!C824,customers!$A$1:$A$1001,customers!$C$1:$C$1001,,0))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6">
        <f t="shared" si="36"/>
        <v>136.61999999999998</v>
      </c>
      <c r="N824" t="str">
        <f t="shared" si="37"/>
        <v>Excelsa</v>
      </c>
      <c r="O824"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f>_xlfn.XLOOKUP(orders!C825,customers!$A$1:$A$1001,customers!$B$1:$B$1001,,0)</f>
        <v>Tess Benediktovich</v>
      </c>
      <c r="G825" s="2" t="str">
        <f>IF(_xlfn.XLOOKUP(orders!C825,customers!$A$1:$A$1001,customers!$C$1:$C$1001,,0)=0,"",_xlfn.XLOOKUP(orders!C825,customers!$A$1:$A$1001,customers!$C$1:$C$1001,,0))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6">
        <f t="shared" si="36"/>
        <v>47.55</v>
      </c>
      <c r="N825" t="str">
        <f t="shared" si="37"/>
        <v>Liberica</v>
      </c>
      <c r="O825"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f>_xlfn.XLOOKUP(orders!C826,customers!$A$1:$A$1001,customers!$B$1:$B$1001,,0)</f>
        <v>Correy Bourner</v>
      </c>
      <c r="G826" s="2" t="str">
        <f>IF(_xlfn.XLOOKUP(orders!C826,customers!$A$1:$A$1001,customers!$C$1:$C$1001,,0)=0,"",_xlfn.XLOOKUP(orders!C826,customers!$A$1:$A$1001,customers!$C$1:$C$1001,,0))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6">
        <f t="shared" si="36"/>
        <v>16.875</v>
      </c>
      <c r="N826" t="str">
        <f t="shared" si="37"/>
        <v>Arabica</v>
      </c>
      <c r="O826"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f>_xlfn.XLOOKUP(orders!C827,customers!$A$1:$A$1001,customers!$B$1:$B$1001,,0)</f>
        <v>Odelia Skerme</v>
      </c>
      <c r="G827" s="2" t="str">
        <f>IF(_xlfn.XLOOKUP(orders!C827,customers!$A$1:$A$1001,customers!$C$1:$C$1001,,0)=0,"",_xlfn.XLOOKUP(orders!C827,customers!$A$1:$A$1001,customers!$C$1:$C$1001,,0))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6">
        <f t="shared" si="36"/>
        <v>29.849999999999998</v>
      </c>
      <c r="N827" t="str">
        <f t="shared" si="37"/>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_xlfn.XLOOKUP(orders!C828,customers!$A$1:$A$1001,customers!$B$1:$B$1001,,0)</f>
        <v>Kandy Heddan</v>
      </c>
      <c r="G828" s="2" t="str">
        <f>IF(_xlfn.XLOOKUP(orders!C828,customers!$A$1:$A$1001,customers!$C$1:$C$1001,,0)=0,"",_xlfn.XLOOKUP(orders!C828,customers!$A$1:$A$1001,customers!$C$1:$C$1001,,0))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6">
        <f t="shared" si="36"/>
        <v>41.25</v>
      </c>
      <c r="N828" t="str">
        <f t="shared" si="37"/>
        <v>Excelsa</v>
      </c>
      <c r="O828"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f>_xlfn.XLOOKUP(orders!C829,customers!$A$1:$A$1001,customers!$B$1:$B$1001,,0)</f>
        <v>Ibby Charters</v>
      </c>
      <c r="G829" s="2" t="str">
        <f>IF(_xlfn.XLOOKUP(orders!C829,customers!$A$1:$A$1001,customers!$C$1:$C$1001,,0)=0,"",_xlfn.XLOOKUP(orders!C829,customers!$A$1:$A$1001,customers!$C$1:$C$1001,,0))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6">
        <f t="shared" si="36"/>
        <v>20.625</v>
      </c>
      <c r="N829" t="str">
        <f t="shared" si="37"/>
        <v>Excelsa</v>
      </c>
      <c r="O829"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f>_xlfn.XLOOKUP(orders!C830,customers!$A$1:$A$1001,customers!$B$1:$B$1001,,0)</f>
        <v>Adora Roubert</v>
      </c>
      <c r="G830" s="2" t="str">
        <f>IF(_xlfn.XLOOKUP(orders!C830,customers!$A$1:$A$1001,customers!$C$1:$C$1001,,0)=0,"",_xlfn.XLOOKUP(orders!C830,customers!$A$1:$A$1001,customers!$C$1:$C$1001,,0))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6">
        <f t="shared" si="36"/>
        <v>137.31</v>
      </c>
      <c r="N830" t="str">
        <f t="shared" si="37"/>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_xlfn.XLOOKUP(orders!C831,customers!$A$1:$A$1001,customers!$B$1:$B$1001,,0)</f>
        <v>Hillel Mairs</v>
      </c>
      <c r="G831" s="2" t="str">
        <f>IF(_xlfn.XLOOKUP(orders!C831,customers!$A$1:$A$1001,customers!$C$1:$C$1001,,0)=0,"",_xlfn.XLOOKUP(orders!C831,customers!$A$1:$A$1001,customers!$C$1:$C$1001,,0))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6">
        <f t="shared" si="36"/>
        <v>2.9849999999999999</v>
      </c>
      <c r="N831" t="str">
        <f t="shared" si="37"/>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_xlfn.XLOOKUP(orders!C832,customers!$A$1:$A$1001,customers!$B$1:$B$1001,,0)</f>
        <v>Helaina Rainforth</v>
      </c>
      <c r="G832" s="2" t="str">
        <f>IF(_xlfn.XLOOKUP(orders!C832,customers!$A$1:$A$1001,customers!$C$1:$C$1001,,0)=0,"",_xlfn.XLOOKUP(orders!C832,customers!$A$1:$A$1001,customers!$C$1:$C$1001,,0))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6">
        <f t="shared" si="36"/>
        <v>27.5</v>
      </c>
      <c r="N832" t="str">
        <f t="shared" si="37"/>
        <v>Excelsa</v>
      </c>
      <c r="O83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f>_xlfn.XLOOKUP(orders!C833,customers!$A$1:$A$1001,customers!$B$1:$B$1001,,0)</f>
        <v>Helaina Rainforth</v>
      </c>
      <c r="G833" s="2" t="str">
        <f>IF(_xlfn.XLOOKUP(orders!C833,customers!$A$1:$A$1001,customers!$C$1:$C$1001,,0)=0,"",_xlfn.XLOOKUP(orders!C833,customers!$A$1:$A$1001,customers!$C$1:$C$1001,,0))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6">
        <f t="shared" si="36"/>
        <v>5.97</v>
      </c>
      <c r="N833" t="str">
        <f t="shared" si="37"/>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_xlfn.XLOOKUP(orders!C834,customers!$A$1:$A$1001,customers!$B$1:$B$1001,,0)</f>
        <v>Isac Jesper</v>
      </c>
      <c r="G834" s="2" t="str">
        <f>IF(_xlfn.XLOOKUP(orders!C834,customers!$A$1:$A$1001,customers!$C$1:$C$1001,,0)=0,"",_xlfn.XLOOKUP(orders!C834,customers!$A$1:$A$1001,customers!$C$1:$C$1001,,0))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6">
        <f t="shared" si="36"/>
        <v>59.699999999999996</v>
      </c>
      <c r="N834" t="str">
        <f t="shared" si="37"/>
        <v>Robusta</v>
      </c>
      <c r="O834"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f>_xlfn.XLOOKUP(orders!C835,customers!$A$1:$A$1001,customers!$B$1:$B$1001,,0)</f>
        <v>Lenette Dwerryhouse</v>
      </c>
      <c r="G835" s="2" t="str">
        <f>IF(_xlfn.XLOOKUP(orders!C835,customers!$A$1:$A$1001,customers!$C$1:$C$1001,,0)=0,"",_xlfn.XLOOKUP(orders!C835,customers!$A$1:$A$1001,customers!$C$1:$C$1001,,0))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6">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_xlfn.XLOOKUP(orders!C836,customers!$A$1:$A$1001,customers!$B$1:$B$1001,,0)</f>
        <v>Nadeen Broomer</v>
      </c>
      <c r="G836" s="2" t="str">
        <f>IF(_xlfn.XLOOKUP(orders!C836,customers!$A$1:$A$1001,customers!$C$1:$C$1001,,0)=0,"",_xlfn.XLOOKUP(orders!C836,customers!$A$1:$A$1001,customers!$C$1:$C$1001,,0))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6">
        <f t="shared" si="39"/>
        <v>22.884999999999998</v>
      </c>
      <c r="N836" t="str">
        <f t="shared" si="40"/>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_xlfn.XLOOKUP(orders!C837,customers!$A$1:$A$1001,customers!$B$1:$B$1001,,0)</f>
        <v>Konstantine Thoumasson</v>
      </c>
      <c r="G837" s="2" t="str">
        <f>IF(_xlfn.XLOOKUP(orders!C837,customers!$A$1:$A$1001,customers!$C$1:$C$1001,,0)=0,"",_xlfn.XLOOKUP(orders!C837,customers!$A$1:$A$1001,customers!$C$1:$C$1001,,0))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6">
        <f t="shared" si="39"/>
        <v>8.91</v>
      </c>
      <c r="N837" t="str">
        <f t="shared" si="40"/>
        <v>Excelsa</v>
      </c>
      <c r="O837"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f>_xlfn.XLOOKUP(orders!C838,customers!$A$1:$A$1001,customers!$B$1:$B$1001,,0)</f>
        <v>Frans Habbergham</v>
      </c>
      <c r="G838" s="2" t="str">
        <f>IF(_xlfn.XLOOKUP(orders!C838,customers!$A$1:$A$1001,customers!$C$1:$C$1001,,0)=0,"",_xlfn.XLOOKUP(orders!C838,customers!$A$1:$A$1001,customers!$C$1:$C$1001,,0))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6">
        <f t="shared" si="39"/>
        <v>11.94</v>
      </c>
      <c r="N838" t="str">
        <f t="shared" si="40"/>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_xlfn.XLOOKUP(orders!C839,customers!$A$1:$A$1001,customers!$B$1:$B$1001,,0)</f>
        <v>Allis Wilmore</v>
      </c>
      <c r="G839" s="2" t="str">
        <f>IF(_xlfn.XLOOKUP(orders!C839,customers!$A$1:$A$1001,customers!$C$1:$C$1001,,0)=0,"",_xlfn.XLOOKUP(orders!C839,customers!$A$1:$A$1001,customers!$C$1:$C$1001,,0))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6">
        <f t="shared" si="39"/>
        <v>100.39499999999998</v>
      </c>
      <c r="N839" t="str">
        <f t="shared" si="40"/>
        <v>Liberica</v>
      </c>
      <c r="O839"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f>_xlfn.XLOOKUP(orders!C840,customers!$A$1:$A$1001,customers!$B$1:$B$1001,,0)</f>
        <v>Romain Avrashin</v>
      </c>
      <c r="G840" s="2" t="str">
        <f>IF(_xlfn.XLOOKUP(orders!C840,customers!$A$1:$A$1001,customers!$C$1:$C$1001,,0)=0,"",_xlfn.XLOOKUP(orders!C840,customers!$A$1:$A$1001,customers!$C$1:$C$1001,,0))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6">
        <f t="shared" si="39"/>
        <v>114.42499999999998</v>
      </c>
      <c r="N840" t="str">
        <f t="shared" si="40"/>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_xlfn.XLOOKUP(orders!C841,customers!$A$1:$A$1001,customers!$B$1:$B$1001,,0)</f>
        <v>Miran Doidge</v>
      </c>
      <c r="G841" s="2" t="str">
        <f>IF(_xlfn.XLOOKUP(orders!C841,customers!$A$1:$A$1001,customers!$C$1:$C$1001,,0)=0,"",_xlfn.XLOOKUP(orders!C841,customers!$A$1:$A$1001,customers!$C$1:$C$1001,,0))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6">
        <f t="shared" si="39"/>
        <v>41.25</v>
      </c>
      <c r="N841" t="str">
        <f t="shared" si="40"/>
        <v>Excelsa</v>
      </c>
      <c r="O841"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f>_xlfn.XLOOKUP(orders!C842,customers!$A$1:$A$1001,customers!$B$1:$B$1001,,0)</f>
        <v>Janeva Edinboro</v>
      </c>
      <c r="G842" s="2" t="str">
        <f>IF(_xlfn.XLOOKUP(orders!C842,customers!$A$1:$A$1001,customers!$C$1:$C$1001,,0)=0,"",_xlfn.XLOOKUP(orders!C842,customers!$A$1:$A$1001,customers!$C$1:$C$1001,,0))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6">
        <f t="shared" si="39"/>
        <v>28.679999999999996</v>
      </c>
      <c r="N842" t="str">
        <f t="shared" si="40"/>
        <v>Robusta</v>
      </c>
      <c r="O84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f>_xlfn.XLOOKUP(orders!C843,customers!$A$1:$A$1001,customers!$B$1:$B$1001,,0)</f>
        <v>Trumaine Tewelson</v>
      </c>
      <c r="G843" s="2" t="str">
        <f>IF(_xlfn.XLOOKUP(orders!C843,customers!$A$1:$A$1001,customers!$C$1:$C$1001,,0)=0,"",_xlfn.XLOOKUP(orders!C843,customers!$A$1:$A$1001,customers!$C$1:$C$1001,,0))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6">
        <f t="shared" si="39"/>
        <v>4.3650000000000002</v>
      </c>
      <c r="N843" t="str">
        <f t="shared" si="40"/>
        <v>Liberica</v>
      </c>
      <c r="O843"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f>_xlfn.XLOOKUP(orders!C844,customers!$A$1:$A$1001,customers!$B$1:$B$1001,,0)</f>
        <v>Odelia Skerme</v>
      </c>
      <c r="G844" s="2" t="str">
        <f>IF(_xlfn.XLOOKUP(orders!C844,customers!$A$1:$A$1001,customers!$C$1:$C$1001,,0)=0,"",_xlfn.XLOOKUP(orders!C844,customers!$A$1:$A$1001,customers!$C$1:$C$1001,,0))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6">
        <f t="shared" si="39"/>
        <v>8.25</v>
      </c>
      <c r="N844" t="str">
        <f t="shared" si="40"/>
        <v>Excelsa</v>
      </c>
      <c r="O844"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f>_xlfn.XLOOKUP(orders!C845,customers!$A$1:$A$1001,customers!$B$1:$B$1001,,0)</f>
        <v>De Drewitt</v>
      </c>
      <c r="G845" s="2" t="str">
        <f>IF(_xlfn.XLOOKUP(orders!C845,customers!$A$1:$A$1001,customers!$C$1:$C$1001,,0)=0,"",_xlfn.XLOOKUP(orders!C845,customers!$A$1:$A$1001,customers!$C$1:$C$1001,,0))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6">
        <f t="shared" si="39"/>
        <v>8.25</v>
      </c>
      <c r="N845" t="str">
        <f t="shared" si="40"/>
        <v>Excelsa</v>
      </c>
      <c r="O845"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f>_xlfn.XLOOKUP(orders!C846,customers!$A$1:$A$1001,customers!$B$1:$B$1001,,0)</f>
        <v>Adelheid Gladhill</v>
      </c>
      <c r="G846" s="2" t="str">
        <f>IF(_xlfn.XLOOKUP(orders!C846,customers!$A$1:$A$1001,customers!$C$1:$C$1001,,0)=0,"",_xlfn.XLOOKUP(orders!C846,customers!$A$1:$A$1001,customers!$C$1:$C$1001,,0))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6">
        <f t="shared" si="39"/>
        <v>35.82</v>
      </c>
      <c r="N846" t="str">
        <f t="shared" si="40"/>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_xlfn.XLOOKUP(orders!C847,customers!$A$1:$A$1001,customers!$B$1:$B$1001,,0)</f>
        <v>Murielle Lorinez</v>
      </c>
      <c r="G847" s="2" t="str">
        <f>IF(_xlfn.XLOOKUP(orders!C847,customers!$A$1:$A$1001,customers!$C$1:$C$1001,,0)=0,"",_xlfn.XLOOKUP(orders!C847,customers!$A$1:$A$1001,customers!$C$1:$C$1001,,0))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6">
        <f t="shared" si="39"/>
        <v>167.67000000000002</v>
      </c>
      <c r="N847" t="str">
        <f t="shared" si="40"/>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_xlfn.XLOOKUP(orders!C848,customers!$A$1:$A$1001,customers!$B$1:$B$1001,,0)</f>
        <v>Edin Mathe</v>
      </c>
      <c r="G848" s="2" t="str">
        <f>IF(_xlfn.XLOOKUP(orders!C848,customers!$A$1:$A$1001,customers!$C$1:$C$1001,,0)=0,"",_xlfn.XLOOKUP(orders!C848,customers!$A$1:$A$1001,customers!$C$1:$C$1001,,0))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6">
        <f t="shared" si="39"/>
        <v>51.749999999999993</v>
      </c>
      <c r="N848" t="str">
        <f t="shared" si="40"/>
        <v>Arabica</v>
      </c>
      <c r="O848"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f>_xlfn.XLOOKUP(orders!C849,customers!$A$1:$A$1001,customers!$B$1:$B$1001,,0)</f>
        <v>Mordy Van Der Vlies</v>
      </c>
      <c r="G849" s="2" t="str">
        <f>IF(_xlfn.XLOOKUP(orders!C849,customers!$A$1:$A$1001,customers!$C$1:$C$1001,,0)=0,"",_xlfn.XLOOKUP(orders!C849,customers!$A$1:$A$1001,customers!$C$1:$C$1001,,0))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6">
        <f t="shared" si="39"/>
        <v>8.9550000000000001</v>
      </c>
      <c r="N849" t="str">
        <f t="shared" si="40"/>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_xlfn.XLOOKUP(orders!C850,customers!$A$1:$A$1001,customers!$B$1:$B$1001,,0)</f>
        <v>Spencer Wastell</v>
      </c>
      <c r="G850" s="2" t="str">
        <f>IF(_xlfn.XLOOKUP(orders!C850,customers!$A$1:$A$1001,customers!$C$1:$C$1001,,0)=0,"",_xlfn.XLOOKUP(orders!C850,customers!$A$1:$A$1001,customers!$C$1:$C$1001,,0))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6">
        <f t="shared" si="39"/>
        <v>53.46</v>
      </c>
      <c r="N850" t="str">
        <f t="shared" si="40"/>
        <v>Excelsa</v>
      </c>
      <c r="O850"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f>_xlfn.XLOOKUP(orders!C851,customers!$A$1:$A$1001,customers!$B$1:$B$1001,,0)</f>
        <v>Jemimah Ethelston</v>
      </c>
      <c r="G851" s="2" t="str">
        <f>IF(_xlfn.XLOOKUP(orders!C851,customers!$A$1:$A$1001,customers!$C$1:$C$1001,,0)=0,"",_xlfn.XLOOKUP(orders!C851,customers!$A$1:$A$1001,customers!$C$1:$C$1001,,0))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6">
        <f t="shared" si="39"/>
        <v>23.31</v>
      </c>
      <c r="N851" t="str">
        <f t="shared" si="40"/>
        <v>Arabica</v>
      </c>
      <c r="O851"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f>_xlfn.XLOOKUP(orders!C852,customers!$A$1:$A$1001,customers!$B$1:$B$1001,,0)</f>
        <v>Jemimah Ethelston</v>
      </c>
      <c r="G852" s="2" t="str">
        <f>IF(_xlfn.XLOOKUP(orders!C852,customers!$A$1:$A$1001,customers!$C$1:$C$1001,,0)=0,"",_xlfn.XLOOKUP(orders!C852,customers!$A$1:$A$1001,customers!$C$1:$C$1001,,0))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6">
        <f t="shared" si="39"/>
        <v>6.75</v>
      </c>
      <c r="N852" t="str">
        <f t="shared" si="40"/>
        <v>Arabica</v>
      </c>
      <c r="O85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f>_xlfn.XLOOKUP(orders!C853,customers!$A$1:$A$1001,customers!$B$1:$B$1001,,0)</f>
        <v>Perice Eberz</v>
      </c>
      <c r="G853" s="2" t="str">
        <f>IF(_xlfn.XLOOKUP(orders!C853,customers!$A$1:$A$1001,customers!$C$1:$C$1001,,0)=0,"",_xlfn.XLOOKUP(orders!C853,customers!$A$1:$A$1001,customers!$C$1:$C$1001,,0))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6">
        <f t="shared" si="39"/>
        <v>7.77</v>
      </c>
      <c r="N853" t="str">
        <f t="shared" si="40"/>
        <v>Liberica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_xlfn.XLOOKUP(orders!C854,customers!$A$1:$A$1001,customers!$B$1:$B$1001,,0)</f>
        <v>Bear Gaish</v>
      </c>
      <c r="G854" s="2" t="str">
        <f>IF(_xlfn.XLOOKUP(orders!C854,customers!$A$1:$A$1001,customers!$C$1:$C$1001,,0)=0,"",_xlfn.XLOOKUP(orders!C854,customers!$A$1:$A$1001,customers!$C$1:$C$1001,,0))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6">
        <f t="shared" si="39"/>
        <v>119.13999999999999</v>
      </c>
      <c r="N854" t="str">
        <f t="shared" si="40"/>
        <v>Liberica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_xlfn.XLOOKUP(orders!C855,customers!$A$1:$A$1001,customers!$B$1:$B$1001,,0)</f>
        <v>Lynnea Danton</v>
      </c>
      <c r="G855" s="2" t="str">
        <f>IF(_xlfn.XLOOKUP(orders!C855,customers!$A$1:$A$1001,customers!$C$1:$C$1001,,0)=0,"",_xlfn.XLOOKUP(orders!C855,customers!$A$1:$A$1001,customers!$C$1:$C$1001,,0))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6">
        <f t="shared" si="39"/>
        <v>19.899999999999999</v>
      </c>
      <c r="N855" t="str">
        <f t="shared" si="40"/>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_xlfn.XLOOKUP(orders!C856,customers!$A$1:$A$1001,customers!$B$1:$B$1001,,0)</f>
        <v>Skipton Morrall</v>
      </c>
      <c r="G856" s="2" t="str">
        <f>IF(_xlfn.XLOOKUP(orders!C856,customers!$A$1:$A$1001,customers!$C$1:$C$1001,,0)=0,"",_xlfn.XLOOKUP(orders!C856,customers!$A$1:$A$1001,customers!$C$1:$C$1001,,0))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6">
        <f t="shared" si="39"/>
        <v>35.849999999999994</v>
      </c>
      <c r="N856" t="str">
        <f t="shared" si="40"/>
        <v>Robusta</v>
      </c>
      <c r="O856"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f>_xlfn.XLOOKUP(orders!C857,customers!$A$1:$A$1001,customers!$B$1:$B$1001,,0)</f>
        <v>Devan Crownshaw</v>
      </c>
      <c r="G857" s="2" t="str">
        <f>IF(_xlfn.XLOOKUP(orders!C857,customers!$A$1:$A$1001,customers!$C$1:$C$1001,,0)=0,"",_xlfn.XLOOKUP(orders!C857,customers!$A$1:$A$1001,customers!$C$1:$C$1001,,0))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6">
        <f t="shared" si="39"/>
        <v>89.35499999999999</v>
      </c>
      <c r="N857" t="str">
        <f t="shared" si="40"/>
        <v>Liberica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_xlfn.XLOOKUP(orders!C858,customers!$A$1:$A$1001,customers!$B$1:$B$1001,,0)</f>
        <v>Odelia Skerme</v>
      </c>
      <c r="G858" s="2" t="str">
        <f>IF(_xlfn.XLOOKUP(orders!C858,customers!$A$1:$A$1001,customers!$C$1:$C$1001,,0)=0,"",_xlfn.XLOOKUP(orders!C858,customers!$A$1:$A$1001,customers!$C$1:$C$1001,,0))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6">
        <f t="shared" si="39"/>
        <v>8.73</v>
      </c>
      <c r="N858" t="str">
        <f t="shared" si="40"/>
        <v>Liberica</v>
      </c>
      <c r="O858"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f>_xlfn.XLOOKUP(orders!C859,customers!$A$1:$A$1001,customers!$B$1:$B$1001,,0)</f>
        <v>Joceline Reddoch</v>
      </c>
      <c r="G859" s="2" t="str">
        <f>IF(_xlfn.XLOOKUP(orders!C859,customers!$A$1:$A$1001,customers!$C$1:$C$1001,,0)=0,"",_xlfn.XLOOKUP(orders!C859,customers!$A$1:$A$1001,customers!$C$1:$C$1001,,0))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6">
        <f t="shared" si="39"/>
        <v>137.42499999999998</v>
      </c>
      <c r="N859" t="str">
        <f t="shared" si="40"/>
        <v>Robusta</v>
      </c>
      <c r="O859"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f>_xlfn.XLOOKUP(orders!C860,customers!$A$1:$A$1001,customers!$B$1:$B$1001,,0)</f>
        <v>Shelley Titley</v>
      </c>
      <c r="G860" s="2" t="str">
        <f>IF(_xlfn.XLOOKUP(orders!C860,customers!$A$1:$A$1001,customers!$C$1:$C$1001,,0)=0,"",_xlfn.XLOOKUP(orders!C860,customers!$A$1:$A$1001,customers!$C$1:$C$1001,,0))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6">
        <f t="shared" si="39"/>
        <v>34.92</v>
      </c>
      <c r="N860" t="str">
        <f t="shared" si="40"/>
        <v>Liberica</v>
      </c>
      <c r="O860"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f>_xlfn.XLOOKUP(orders!C861,customers!$A$1:$A$1001,customers!$B$1:$B$1001,,0)</f>
        <v>Redd Simao</v>
      </c>
      <c r="G861" s="2" t="str">
        <f>IF(_xlfn.XLOOKUP(orders!C861,customers!$A$1:$A$1001,customers!$C$1:$C$1001,,0)=0,"",_xlfn.XLOOKUP(orders!C861,customers!$A$1:$A$1001,customers!$C$1:$C$1001,,0))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6">
        <f t="shared" si="39"/>
        <v>178.70999999999998</v>
      </c>
      <c r="N861" t="str">
        <f t="shared" si="40"/>
        <v>Arabica</v>
      </c>
      <c r="O861"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f>_xlfn.XLOOKUP(orders!C862,customers!$A$1:$A$1001,customers!$B$1:$B$1001,,0)</f>
        <v>Cece Inker</v>
      </c>
      <c r="G862" s="2" t="str">
        <f>IF(_xlfn.XLOOKUP(orders!C862,customers!$A$1:$A$1001,customers!$C$1:$C$1001,,0)=0,"",_xlfn.XLOOKUP(orders!C862,customers!$A$1:$A$1001,customers!$C$1:$C$1001,,0))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6">
        <f t="shared" si="39"/>
        <v>25.874999999999996</v>
      </c>
      <c r="N862" t="str">
        <f t="shared" si="40"/>
        <v>Arabica</v>
      </c>
      <c r="O86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f>_xlfn.XLOOKUP(orders!C863,customers!$A$1:$A$1001,customers!$B$1:$B$1001,,0)</f>
        <v>Noel Chisholm</v>
      </c>
      <c r="G863" s="2" t="str">
        <f>IF(_xlfn.XLOOKUP(orders!C863,customers!$A$1:$A$1001,customers!$C$1:$C$1001,,0)=0,"",_xlfn.XLOOKUP(orders!C863,customers!$A$1:$A$1001,customers!$C$1:$C$1001,,0))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6">
        <f t="shared" si="39"/>
        <v>77.699999999999989</v>
      </c>
      <c r="N863" t="str">
        <f t="shared" si="40"/>
        <v>Liberica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_xlfn.XLOOKUP(orders!C864,customers!$A$1:$A$1001,customers!$B$1:$B$1001,,0)</f>
        <v>Grazia Oats</v>
      </c>
      <c r="G864" s="2" t="str">
        <f>IF(_xlfn.XLOOKUP(orders!C864,customers!$A$1:$A$1001,customers!$C$1:$C$1001,,0)=0,"",_xlfn.XLOOKUP(orders!C864,customers!$A$1:$A$1001,customers!$C$1:$C$1001,,0))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6">
        <f t="shared" si="39"/>
        <v>9.9499999999999993</v>
      </c>
      <c r="N864" t="str">
        <f t="shared" si="40"/>
        <v>Robusta</v>
      </c>
      <c r="O864"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f>_xlfn.XLOOKUP(orders!C865,customers!$A$1:$A$1001,customers!$B$1:$B$1001,,0)</f>
        <v>Meade Birkin</v>
      </c>
      <c r="G865" s="2" t="str">
        <f>IF(_xlfn.XLOOKUP(orders!C865,customers!$A$1:$A$1001,customers!$C$1:$C$1001,,0)=0,"",_xlfn.XLOOKUP(orders!C865,customers!$A$1:$A$1001,customers!$C$1:$C$1001,,0))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6">
        <f t="shared" si="39"/>
        <v>29.1</v>
      </c>
      <c r="N865" t="str">
        <f t="shared" si="40"/>
        <v>Liberica</v>
      </c>
      <c r="O865"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f>_xlfn.XLOOKUP(orders!C866,customers!$A$1:$A$1001,customers!$B$1:$B$1001,,0)</f>
        <v>Ronda Pyson</v>
      </c>
      <c r="G866" s="2" t="str">
        <f>IF(_xlfn.XLOOKUP(orders!C866,customers!$A$1:$A$1001,customers!$C$1:$C$1001,,0)=0,"",_xlfn.XLOOKUP(orders!C866,customers!$A$1:$A$1001,customers!$C$1:$C$1001,,0))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6">
        <f t="shared" si="39"/>
        <v>21.509999999999998</v>
      </c>
      <c r="N866" t="str">
        <f t="shared" si="40"/>
        <v>Robusta</v>
      </c>
      <c r="O866"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f>_xlfn.XLOOKUP(orders!C867,customers!$A$1:$A$1001,customers!$B$1:$B$1001,,0)</f>
        <v>Modesty MacConnechie</v>
      </c>
      <c r="G867" s="2" t="str">
        <f>IF(_xlfn.XLOOKUP(orders!C867,customers!$A$1:$A$1001,customers!$C$1:$C$1001,,0)=0,"",_xlfn.XLOOKUP(orders!C867,customers!$A$1:$A$1001,customers!$C$1:$C$1001,,0))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6">
        <f t="shared" si="39"/>
        <v>6.75</v>
      </c>
      <c r="N867" t="str">
        <f t="shared" si="40"/>
        <v>Arabica</v>
      </c>
      <c r="O867"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f>_xlfn.XLOOKUP(orders!C868,customers!$A$1:$A$1001,customers!$B$1:$B$1001,,0)</f>
        <v>Rafaela Treacher</v>
      </c>
      <c r="G868" s="2" t="str">
        <f>IF(_xlfn.XLOOKUP(orders!C868,customers!$A$1:$A$1001,customers!$C$1:$C$1001,,0)=0,"",_xlfn.XLOOKUP(orders!C868,customers!$A$1:$A$1001,customers!$C$1:$C$1001,,0))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6">
        <f t="shared" si="39"/>
        <v>17.91</v>
      </c>
      <c r="N868" t="str">
        <f t="shared" si="40"/>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_xlfn.XLOOKUP(orders!C869,customers!$A$1:$A$1001,customers!$B$1:$B$1001,,0)</f>
        <v>Bee Fattorini</v>
      </c>
      <c r="G869" s="2" t="str">
        <f>IF(_xlfn.XLOOKUP(orders!C869,customers!$A$1:$A$1001,customers!$C$1:$C$1001,,0)=0,"",_xlfn.XLOOKUP(orders!C869,customers!$A$1:$A$1001,customers!$C$1:$C$1001,,0))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6">
        <f t="shared" si="39"/>
        <v>29.784999999999997</v>
      </c>
      <c r="N869" t="str">
        <f t="shared" si="40"/>
        <v>Arabica</v>
      </c>
      <c r="O869"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f>_xlfn.XLOOKUP(orders!C870,customers!$A$1:$A$1001,customers!$B$1:$B$1001,,0)</f>
        <v>Margie Palleske</v>
      </c>
      <c r="G870" s="2" t="str">
        <f>IF(_xlfn.XLOOKUP(orders!C870,customers!$A$1:$A$1001,customers!$C$1:$C$1001,,0)=0,"",_xlfn.XLOOKUP(orders!C870,customers!$A$1:$A$1001,customers!$C$1:$C$1001,,0))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6">
        <f t="shared" si="39"/>
        <v>41.25</v>
      </c>
      <c r="N870" t="str">
        <f t="shared" si="40"/>
        <v>Excelsa</v>
      </c>
      <c r="O870"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f>_xlfn.XLOOKUP(orders!C871,customers!$A$1:$A$1001,customers!$B$1:$B$1001,,0)</f>
        <v>Alexina Randals</v>
      </c>
      <c r="G871" s="2" t="str">
        <f>IF(_xlfn.XLOOKUP(orders!C871,customers!$A$1:$A$1001,customers!$C$1:$C$1001,,0)=0,"",_xlfn.XLOOKUP(orders!C871,customers!$A$1:$A$1001,customers!$C$1:$C$1001,,0))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6">
        <f t="shared" si="39"/>
        <v>17.91</v>
      </c>
      <c r="N871" t="str">
        <f t="shared" si="40"/>
        <v>Robusta</v>
      </c>
      <c r="O871"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f>_xlfn.XLOOKUP(orders!C872,customers!$A$1:$A$1001,customers!$B$1:$B$1001,,0)</f>
        <v>Filip Antcliffe</v>
      </c>
      <c r="G872" s="2" t="str">
        <f>IF(_xlfn.XLOOKUP(orders!C872,customers!$A$1:$A$1001,customers!$C$1:$C$1001,,0)=0,"",_xlfn.XLOOKUP(orders!C872,customers!$A$1:$A$1001,customers!$C$1:$C$1001,,0))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6">
        <f t="shared" si="39"/>
        <v>7.29</v>
      </c>
      <c r="N872" t="str">
        <f t="shared" si="40"/>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_xlfn.XLOOKUP(orders!C873,customers!$A$1:$A$1001,customers!$B$1:$B$1001,,0)</f>
        <v>Peyter Matignon</v>
      </c>
      <c r="G873" s="2" t="str">
        <f>IF(_xlfn.XLOOKUP(orders!C873,customers!$A$1:$A$1001,customers!$C$1:$C$1001,,0)=0,"",_xlfn.XLOOKUP(orders!C873,customers!$A$1:$A$1001,customers!$C$1:$C$1001,,0))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6">
        <f t="shared" si="39"/>
        <v>29.7</v>
      </c>
      <c r="N873" t="str">
        <f t="shared" si="40"/>
        <v>Excelsa</v>
      </c>
      <c r="O873"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f>_xlfn.XLOOKUP(orders!C874,customers!$A$1:$A$1001,customers!$B$1:$B$1001,,0)</f>
        <v>Claudie Weond</v>
      </c>
      <c r="G874" s="2" t="str">
        <f>IF(_xlfn.XLOOKUP(orders!C874,customers!$A$1:$A$1001,customers!$C$1:$C$1001,,0)=0,"",_xlfn.XLOOKUP(orders!C874,customers!$A$1:$A$1001,customers!$C$1:$C$1001,,0))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6">
        <f t="shared" si="39"/>
        <v>22.5</v>
      </c>
      <c r="N874" t="str">
        <f t="shared" si="40"/>
        <v>Arabica</v>
      </c>
      <c r="O874"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f>_xlfn.XLOOKUP(orders!C875,customers!$A$1:$A$1001,customers!$B$1:$B$1001,,0)</f>
        <v>Modesty MacConnechie</v>
      </c>
      <c r="G875" s="2" t="str">
        <f>IF(_xlfn.XLOOKUP(orders!C875,customers!$A$1:$A$1001,customers!$C$1:$C$1001,,0)=0,"",_xlfn.XLOOKUP(orders!C875,customers!$A$1:$A$1001,customers!$C$1:$C$1001,,0))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6">
        <f t="shared" si="39"/>
        <v>11.94</v>
      </c>
      <c r="N875" t="str">
        <f t="shared" si="40"/>
        <v>Robusta</v>
      </c>
      <c r="O875"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f>_xlfn.XLOOKUP(orders!C876,customers!$A$1:$A$1001,customers!$B$1:$B$1001,,0)</f>
        <v>Jaquenette Skentelbery</v>
      </c>
      <c r="G876" s="2" t="str">
        <f>IF(_xlfn.XLOOKUP(orders!C876,customers!$A$1:$A$1001,customers!$C$1:$C$1001,,0)=0,"",_xlfn.XLOOKUP(orders!C876,customers!$A$1:$A$1001,customers!$C$1:$C$1001,,0))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6">
        <f t="shared" si="39"/>
        <v>25.9</v>
      </c>
      <c r="N876" t="str">
        <f t="shared" si="40"/>
        <v>Arabica</v>
      </c>
      <c r="O876"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f>_xlfn.XLOOKUP(orders!C877,customers!$A$1:$A$1001,customers!$B$1:$B$1001,,0)</f>
        <v>Orazio Comber</v>
      </c>
      <c r="G877" s="2" t="str">
        <f>IF(_xlfn.XLOOKUP(orders!C877,customers!$A$1:$A$1001,customers!$C$1:$C$1001,,0)=0,"",_xlfn.XLOOKUP(orders!C877,customers!$A$1:$A$1001,customers!$C$1:$C$1001,,0))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6">
        <f t="shared" si="39"/>
        <v>43.650000000000006</v>
      </c>
      <c r="N877" t="str">
        <f t="shared" si="40"/>
        <v>Liberica</v>
      </c>
      <c r="O877"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f>_xlfn.XLOOKUP(orders!C878,customers!$A$1:$A$1001,customers!$B$1:$B$1001,,0)</f>
        <v>Orazio Comber</v>
      </c>
      <c r="G878" s="2" t="str">
        <f>IF(_xlfn.XLOOKUP(orders!C878,customers!$A$1:$A$1001,customers!$C$1:$C$1001,,0)=0,"",_xlfn.XLOOKUP(orders!C878,customers!$A$1:$A$1001,customers!$C$1:$C$1001,,0))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6">
        <f t="shared" si="39"/>
        <v>46.62</v>
      </c>
      <c r="N878" t="str">
        <f t="shared" si="40"/>
        <v>Arabica</v>
      </c>
      <c r="O878"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f>_xlfn.XLOOKUP(orders!C879,customers!$A$1:$A$1001,customers!$B$1:$B$1001,,0)</f>
        <v>Zachary Tramel</v>
      </c>
      <c r="G879" s="2" t="str">
        <f>IF(_xlfn.XLOOKUP(orders!C879,customers!$A$1:$A$1001,customers!$C$1:$C$1001,,0)=0,"",_xlfn.XLOOKUP(orders!C879,customers!$A$1:$A$1001,customers!$C$1:$C$1001,,0))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6">
        <f t="shared" si="39"/>
        <v>28.53</v>
      </c>
      <c r="N879" t="str">
        <f t="shared" si="40"/>
        <v>Liberica</v>
      </c>
      <c r="O879"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f>_xlfn.XLOOKUP(orders!C880,customers!$A$1:$A$1001,customers!$B$1:$B$1001,,0)</f>
        <v>Izaak Primak</v>
      </c>
      <c r="G880" s="2" t="str">
        <f>IF(_xlfn.XLOOKUP(orders!C880,customers!$A$1:$A$1001,customers!$C$1:$C$1001,,0)=0,"",_xlfn.XLOOKUP(orders!C880,customers!$A$1:$A$1001,customers!$C$1:$C$1001,,0))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6">
        <f t="shared" si="39"/>
        <v>27.484999999999996</v>
      </c>
      <c r="N880" t="str">
        <f t="shared" si="40"/>
        <v>Robusta</v>
      </c>
      <c r="O880"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f>_xlfn.XLOOKUP(orders!C881,customers!$A$1:$A$1001,customers!$B$1:$B$1001,,0)</f>
        <v>Brittani Thoresbie</v>
      </c>
      <c r="G881" s="2" t="str">
        <f>IF(_xlfn.XLOOKUP(orders!C881,customers!$A$1:$A$1001,customers!$C$1:$C$1001,,0)=0,"",_xlfn.XLOOKUP(orders!C881,customers!$A$1:$A$1001,customers!$C$1:$C$1001,,0))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6">
        <f t="shared" si="39"/>
        <v>10.935</v>
      </c>
      <c r="N881" t="str">
        <f t="shared" si="40"/>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_xlfn.XLOOKUP(orders!C882,customers!$A$1:$A$1001,customers!$B$1:$B$1001,,0)</f>
        <v>Constanta Hatfull</v>
      </c>
      <c r="G882" s="2" t="str">
        <f>IF(_xlfn.XLOOKUP(orders!C882,customers!$A$1:$A$1001,customers!$C$1:$C$1001,,0)=0,"",_xlfn.XLOOKUP(orders!C882,customers!$A$1:$A$1001,customers!$C$1:$C$1001,,0))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6">
        <f t="shared" si="39"/>
        <v>7.169999999999999</v>
      </c>
      <c r="N882" t="str">
        <f t="shared" si="40"/>
        <v>Robusta</v>
      </c>
      <c r="O88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f>_xlfn.XLOOKUP(orders!C883,customers!$A$1:$A$1001,customers!$B$1:$B$1001,,0)</f>
        <v>Bobbe Castagneto</v>
      </c>
      <c r="G883" s="2" t="str">
        <f>IF(_xlfn.XLOOKUP(orders!C883,customers!$A$1:$A$1001,customers!$C$1:$C$1001,,0)=0,"",_xlfn.XLOOKUP(orders!C883,customers!$A$1:$A$1001,customers!$C$1:$C$1001,,0))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6">
        <f t="shared" si="39"/>
        <v>23.31</v>
      </c>
      <c r="N883" t="str">
        <f t="shared" si="40"/>
        <v>Arabica</v>
      </c>
      <c r="O883"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f>_xlfn.XLOOKUP(orders!C884,customers!$A$1:$A$1001,customers!$B$1:$B$1001,,0)</f>
        <v>Kippie Marrison</v>
      </c>
      <c r="G884" s="2" t="str">
        <f>IF(_xlfn.XLOOKUP(orders!C884,customers!$A$1:$A$1001,customers!$C$1:$C$1001,,0)=0,"",_xlfn.XLOOKUP(orders!C884,customers!$A$1:$A$1001,customers!$C$1:$C$1001,,0))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6">
        <f t="shared" si="39"/>
        <v>114.42499999999998</v>
      </c>
      <c r="N884" t="str">
        <f t="shared" si="40"/>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_xlfn.XLOOKUP(orders!C885,customers!$A$1:$A$1001,customers!$B$1:$B$1001,,0)</f>
        <v>Lindon Agnolo</v>
      </c>
      <c r="G885" s="2" t="str">
        <f>IF(_xlfn.XLOOKUP(orders!C885,customers!$A$1:$A$1001,customers!$C$1:$C$1001,,0)=0,"",_xlfn.XLOOKUP(orders!C885,customers!$A$1:$A$1001,customers!$C$1:$C$1001,,0))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6">
        <f t="shared" si="39"/>
        <v>77.624999999999986</v>
      </c>
      <c r="N885" t="str">
        <f t="shared" si="40"/>
        <v>Arabica</v>
      </c>
      <c r="O885"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f>_xlfn.XLOOKUP(orders!C886,customers!$A$1:$A$1001,customers!$B$1:$B$1001,,0)</f>
        <v>Delainey Kiddy</v>
      </c>
      <c r="G886" s="2" t="str">
        <f>IF(_xlfn.XLOOKUP(orders!C886,customers!$A$1:$A$1001,customers!$C$1:$C$1001,,0)=0,"",_xlfn.XLOOKUP(orders!C886,customers!$A$1:$A$1001,customers!$C$1:$C$1001,,0))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6">
        <f t="shared" si="39"/>
        <v>5.3699999999999992</v>
      </c>
      <c r="N886" t="str">
        <f t="shared" si="40"/>
        <v>Robusta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_xlfn.XLOOKUP(orders!C887,customers!$A$1:$A$1001,customers!$B$1:$B$1001,,0)</f>
        <v>Helli Petroulis</v>
      </c>
      <c r="G887" s="2" t="str">
        <f>IF(_xlfn.XLOOKUP(orders!C887,customers!$A$1:$A$1001,customers!$C$1:$C$1001,,0)=0,"",_xlfn.XLOOKUP(orders!C887,customers!$A$1:$A$1001,customers!$C$1:$C$1001,,0))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6">
        <f t="shared" si="39"/>
        <v>123.50999999999999</v>
      </c>
      <c r="N887" t="str">
        <f t="shared" si="40"/>
        <v>Robusta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_xlfn.XLOOKUP(orders!C888,customers!$A$1:$A$1001,customers!$B$1:$B$1001,,0)</f>
        <v>Marty Scholl</v>
      </c>
      <c r="G888" s="2" t="str">
        <f>IF(_xlfn.XLOOKUP(orders!C888,customers!$A$1:$A$1001,customers!$C$1:$C$1001,,0)=0,"",_xlfn.XLOOKUP(orders!C888,customers!$A$1:$A$1001,customers!$C$1:$C$1001,,0))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6">
        <f t="shared" si="39"/>
        <v>17.46</v>
      </c>
      <c r="N888" t="str">
        <f t="shared" si="40"/>
        <v>Liberica</v>
      </c>
      <c r="O888"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f>_xlfn.XLOOKUP(orders!C889,customers!$A$1:$A$1001,customers!$B$1:$B$1001,,0)</f>
        <v>Kienan Ferson</v>
      </c>
      <c r="G889" s="2" t="str">
        <f>IF(_xlfn.XLOOKUP(orders!C889,customers!$A$1:$A$1001,customers!$C$1:$C$1001,,0)=0,"",_xlfn.XLOOKUP(orders!C889,customers!$A$1:$A$1001,customers!$C$1:$C$1001,,0))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6">
        <f t="shared" si="39"/>
        <v>13.365</v>
      </c>
      <c r="N889" t="str">
        <f t="shared" si="40"/>
        <v>Excelsa</v>
      </c>
      <c r="O889"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f>_xlfn.XLOOKUP(orders!C890,customers!$A$1:$A$1001,customers!$B$1:$B$1001,,0)</f>
        <v>Blake Kelloway</v>
      </c>
      <c r="G890" s="2" t="str">
        <f>IF(_xlfn.XLOOKUP(orders!C890,customers!$A$1:$A$1001,customers!$C$1:$C$1001,,0)=0,"",_xlfn.XLOOKUP(orders!C890,customers!$A$1:$A$1001,customers!$C$1:$C$1001,,0))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6">
        <f t="shared" si="39"/>
        <v>7.77</v>
      </c>
      <c r="N890" t="str">
        <f t="shared" si="40"/>
        <v>Arabica</v>
      </c>
      <c r="O890"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f>_xlfn.XLOOKUP(orders!C891,customers!$A$1:$A$1001,customers!$B$1:$B$1001,,0)</f>
        <v>Scarlett Oliffe</v>
      </c>
      <c r="G891" s="2" t="str">
        <f>IF(_xlfn.XLOOKUP(orders!C891,customers!$A$1:$A$1001,customers!$C$1:$C$1001,,0)=0,"",_xlfn.XLOOKUP(orders!C891,customers!$A$1:$A$1001,customers!$C$1:$C$1001,,0))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6">
        <f t="shared" si="39"/>
        <v>2.6849999999999996</v>
      </c>
      <c r="N891" t="str">
        <f t="shared" si="40"/>
        <v>Robusta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_xlfn.XLOOKUP(orders!C892,customers!$A$1:$A$1001,customers!$B$1:$B$1001,,0)</f>
        <v>Kippie Marrison</v>
      </c>
      <c r="G892" s="2" t="str">
        <f>IF(_xlfn.XLOOKUP(orders!C892,customers!$A$1:$A$1001,customers!$C$1:$C$1001,,0)=0,"",_xlfn.XLOOKUP(orders!C892,customers!$A$1:$A$1001,customers!$C$1:$C$1001,,0))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6">
        <f t="shared" si="39"/>
        <v>20.584999999999997</v>
      </c>
      <c r="N892" t="str">
        <f t="shared" si="40"/>
        <v>Robusta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_xlfn.XLOOKUP(orders!C893,customers!$A$1:$A$1001,customers!$B$1:$B$1001,,0)</f>
        <v>Celestia Dolohunty</v>
      </c>
      <c r="G893" s="2" t="str">
        <f>IF(_xlfn.XLOOKUP(orders!C893,customers!$A$1:$A$1001,customers!$C$1:$C$1001,,0)=0,"",_xlfn.XLOOKUP(orders!C893,customers!$A$1:$A$1001,customers!$C$1:$C$1001,,0))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6">
        <f t="shared" si="39"/>
        <v>114.42499999999998</v>
      </c>
      <c r="N893" t="str">
        <f t="shared" si="40"/>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_xlfn.XLOOKUP(orders!C894,customers!$A$1:$A$1001,customers!$B$1:$B$1001,,0)</f>
        <v>Patsy Vasilenko</v>
      </c>
      <c r="G894" s="2" t="str">
        <f>IF(_xlfn.XLOOKUP(orders!C894,customers!$A$1:$A$1001,customers!$C$1:$C$1001,,0)=0,"",_xlfn.XLOOKUP(orders!C894,customers!$A$1:$A$1001,customers!$C$1:$C$1001,,0))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6">
        <f t="shared" si="39"/>
        <v>20.625</v>
      </c>
      <c r="N894" t="str">
        <f t="shared" si="40"/>
        <v>Excelsa</v>
      </c>
      <c r="O894"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f>_xlfn.XLOOKUP(orders!C895,customers!$A$1:$A$1001,customers!$B$1:$B$1001,,0)</f>
        <v>Raphaela Schankelborg</v>
      </c>
      <c r="G895" s="2" t="str">
        <f>IF(_xlfn.XLOOKUP(orders!C895,customers!$A$1:$A$1001,customers!$C$1:$C$1001,,0)=0,"",_xlfn.XLOOKUP(orders!C895,customers!$A$1:$A$1001,customers!$C$1:$C$1001,,0))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6">
        <f t="shared" si="39"/>
        <v>57.06</v>
      </c>
      <c r="N895" t="str">
        <f t="shared" si="40"/>
        <v>Liberica</v>
      </c>
      <c r="O895"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f>_xlfn.XLOOKUP(orders!C896,customers!$A$1:$A$1001,customers!$B$1:$B$1001,,0)</f>
        <v>Sharity Wickens</v>
      </c>
      <c r="G896" s="2" t="str">
        <f>IF(_xlfn.XLOOKUP(orders!C896,customers!$A$1:$A$1001,customers!$C$1:$C$1001,,0)=0,"",_xlfn.XLOOKUP(orders!C896,customers!$A$1:$A$1001,customers!$C$1:$C$1001,,0))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6">
        <f t="shared" si="39"/>
        <v>82.339999999999989</v>
      </c>
      <c r="N896" t="str">
        <f t="shared" si="40"/>
        <v>Robusta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_xlfn.XLOOKUP(orders!C897,customers!$A$1:$A$1001,customers!$B$1:$B$1001,,0)</f>
        <v>Derick Snow</v>
      </c>
      <c r="G897" s="2" t="str">
        <f>IF(_xlfn.XLOOKUP(orders!C897,customers!$A$1:$A$1001,customers!$C$1:$C$1001,,0)=0,"",_xlfn.XLOOKUP(orders!C897,customers!$A$1:$A$1001,customers!$C$1:$C$1001,,0))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6">
        <f t="shared" si="39"/>
        <v>158.12499999999997</v>
      </c>
      <c r="N897" t="str">
        <f t="shared" si="40"/>
        <v>Excelsa</v>
      </c>
      <c r="O897"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f>_xlfn.XLOOKUP(orders!C898,customers!$A$1:$A$1001,customers!$B$1:$B$1001,,0)</f>
        <v>Baxy Cargen</v>
      </c>
      <c r="G898" s="2" t="str">
        <f>IF(_xlfn.XLOOKUP(orders!C898,customers!$A$1:$A$1001,customers!$C$1:$C$1001,,0)=0,"",_xlfn.XLOOKUP(orders!C898,customers!$A$1:$A$1001,customers!$C$1:$C$1001,,0))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6">
        <f t="shared" si="39"/>
        <v>32.22</v>
      </c>
      <c r="N898" t="str">
        <f t="shared" si="40"/>
        <v>Robusta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_xlfn.XLOOKUP(orders!C899,customers!$A$1:$A$1001,customers!$B$1:$B$1001,,0)</f>
        <v>Ryann Stickler</v>
      </c>
      <c r="G899" s="2" t="str">
        <f>IF(_xlfn.XLOOKUP(orders!C899,customers!$A$1:$A$1001,customers!$C$1:$C$1001,,0)=0,"",_xlfn.XLOOKUP(orders!C899,customers!$A$1:$A$1001,customers!$C$1:$C$1001,,0))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6">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_xlfn.XLOOKUP(orders!C900,customers!$A$1:$A$1001,customers!$B$1:$B$1001,,0)</f>
        <v>Daryn Cassius</v>
      </c>
      <c r="G900" s="2" t="str">
        <f>IF(_xlfn.XLOOKUP(orders!C900,customers!$A$1:$A$1001,customers!$C$1:$C$1001,,0)=0,"",_xlfn.XLOOKUP(orders!C900,customers!$A$1:$A$1001,customers!$C$1:$C$1001,,0))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6">
        <f t="shared" si="42"/>
        <v>35.849999999999994</v>
      </c>
      <c r="N900" t="str">
        <f t="shared" si="43"/>
        <v>Robusta</v>
      </c>
      <c r="O900"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f>_xlfn.XLOOKUP(orders!C901,customers!$A$1:$A$1001,customers!$B$1:$B$1001,,0)</f>
        <v>Derick Snow</v>
      </c>
      <c r="G901" s="2" t="str">
        <f>IF(_xlfn.XLOOKUP(orders!C901,customers!$A$1:$A$1001,customers!$C$1:$C$1001,,0)=0,"",_xlfn.XLOOKUP(orders!C901,customers!$A$1:$A$1001,customers!$C$1:$C$1001,,0))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6">
        <f t="shared" si="42"/>
        <v>72.75</v>
      </c>
      <c r="N901" t="str">
        <f t="shared" si="43"/>
        <v>Liberica</v>
      </c>
      <c r="O901"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f>_xlfn.XLOOKUP(orders!C902,customers!$A$1:$A$1001,customers!$B$1:$B$1001,,0)</f>
        <v>Skelly Dolohunty</v>
      </c>
      <c r="G902" s="2" t="str">
        <f>IF(_xlfn.XLOOKUP(orders!C902,customers!$A$1:$A$1001,customers!$C$1:$C$1001,,0)=0,"",_xlfn.XLOOKUP(orders!C902,customers!$A$1:$A$1001,customers!$C$1:$C$1001,,0))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6">
        <f t="shared" si="42"/>
        <v>47.55</v>
      </c>
      <c r="N902" t="str">
        <f t="shared" si="43"/>
        <v>Liberica</v>
      </c>
      <c r="O90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f>_xlfn.XLOOKUP(orders!C903,customers!$A$1:$A$1001,customers!$B$1:$B$1001,,0)</f>
        <v>Drake Jevon</v>
      </c>
      <c r="G903" s="2" t="str">
        <f>IF(_xlfn.XLOOKUP(orders!C903,customers!$A$1:$A$1001,customers!$C$1:$C$1001,,0)=0,"",_xlfn.XLOOKUP(orders!C903,customers!$A$1:$A$1001,customers!$C$1:$C$1001,,0))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6">
        <f t="shared" si="42"/>
        <v>3.5849999999999995</v>
      </c>
      <c r="N903" t="str">
        <f t="shared" si="43"/>
        <v>Robusta</v>
      </c>
      <c r="O903"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f>_xlfn.XLOOKUP(orders!C904,customers!$A$1:$A$1001,customers!$B$1:$B$1001,,0)</f>
        <v>Hall Ranner</v>
      </c>
      <c r="G904" s="2" t="str">
        <f>IF(_xlfn.XLOOKUP(orders!C904,customers!$A$1:$A$1001,customers!$C$1:$C$1001,,0)=0,"",_xlfn.XLOOKUP(orders!C904,customers!$A$1:$A$1001,customers!$C$1:$C$1001,,0))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6">
        <f t="shared" si="42"/>
        <v>158.12499999999997</v>
      </c>
      <c r="N904" t="str">
        <f t="shared" si="43"/>
        <v>Excelsa</v>
      </c>
      <c r="O904"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f>_xlfn.XLOOKUP(orders!C905,customers!$A$1:$A$1001,customers!$B$1:$B$1001,,0)</f>
        <v>Berkly Imrie</v>
      </c>
      <c r="G905" s="2" t="str">
        <f>IF(_xlfn.XLOOKUP(orders!C905,customers!$A$1:$A$1001,customers!$C$1:$C$1001,,0)=0,"",_xlfn.XLOOKUP(orders!C905,customers!$A$1:$A$1001,customers!$C$1:$C$1001,,0))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6">
        <f t="shared" si="42"/>
        <v>17.46</v>
      </c>
      <c r="N905" t="str">
        <f t="shared" si="43"/>
        <v>Liberica</v>
      </c>
      <c r="O905"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f>_xlfn.XLOOKUP(orders!C906,customers!$A$1:$A$1001,customers!$B$1:$B$1001,,0)</f>
        <v>Dorey Sopper</v>
      </c>
      <c r="G906" s="2" t="str">
        <f>IF(_xlfn.XLOOKUP(orders!C906,customers!$A$1:$A$1001,customers!$C$1:$C$1001,,0)=0,"",_xlfn.XLOOKUP(orders!C906,customers!$A$1:$A$1001,customers!$C$1:$C$1001,,0))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6">
        <f t="shared" si="42"/>
        <v>148.92499999999998</v>
      </c>
      <c r="N906" t="str">
        <f t="shared" si="43"/>
        <v>Arabica</v>
      </c>
      <c r="O906"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f>_xlfn.XLOOKUP(orders!C907,customers!$A$1:$A$1001,customers!$B$1:$B$1001,,0)</f>
        <v>Darcy Lochran</v>
      </c>
      <c r="G907" s="2" t="str">
        <f>IF(_xlfn.XLOOKUP(orders!C907,customers!$A$1:$A$1001,customers!$C$1:$C$1001,,0)=0,"",_xlfn.XLOOKUP(orders!C907,customers!$A$1:$A$1001,customers!$C$1:$C$1001,,0))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6">
        <f t="shared" si="42"/>
        <v>40.5</v>
      </c>
      <c r="N907" t="str">
        <f t="shared" si="43"/>
        <v>Arabica</v>
      </c>
      <c r="O907"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f>_xlfn.XLOOKUP(orders!C908,customers!$A$1:$A$1001,customers!$B$1:$B$1001,,0)</f>
        <v>Lauritz Ledgley</v>
      </c>
      <c r="G908" s="2" t="str">
        <f>IF(_xlfn.XLOOKUP(orders!C908,customers!$A$1:$A$1001,customers!$C$1:$C$1001,,0)=0,"",_xlfn.XLOOKUP(orders!C908,customers!$A$1:$A$1001,customers!$C$1:$C$1001,,0))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6">
        <f t="shared" si="42"/>
        <v>27</v>
      </c>
      <c r="N908" t="str">
        <f t="shared" si="43"/>
        <v>Arabica</v>
      </c>
      <c r="O908"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f>_xlfn.XLOOKUP(orders!C909,customers!$A$1:$A$1001,customers!$B$1:$B$1001,,0)</f>
        <v>Tawnya Menary</v>
      </c>
      <c r="G909" s="2" t="str">
        <f>IF(_xlfn.XLOOKUP(orders!C909,customers!$A$1:$A$1001,customers!$C$1:$C$1001,,0)=0,"",_xlfn.XLOOKUP(orders!C909,customers!$A$1:$A$1001,customers!$C$1:$C$1001,,0))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6">
        <f t="shared" si="42"/>
        <v>38.849999999999994</v>
      </c>
      <c r="N909" t="str">
        <f t="shared" si="43"/>
        <v>Liberica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_xlfn.XLOOKUP(orders!C910,customers!$A$1:$A$1001,customers!$B$1:$B$1001,,0)</f>
        <v>Gustaf Ciccotti</v>
      </c>
      <c r="G910" s="2" t="str">
        <f>IF(_xlfn.XLOOKUP(orders!C910,customers!$A$1:$A$1001,customers!$C$1:$C$1001,,0)=0,"",_xlfn.XLOOKUP(orders!C910,customers!$A$1:$A$1001,customers!$C$1:$C$1001,,0))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6">
        <f t="shared" si="42"/>
        <v>59.75</v>
      </c>
      <c r="N910" t="str">
        <f t="shared" si="43"/>
        <v>Robusta</v>
      </c>
      <c r="O910"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f>_xlfn.XLOOKUP(orders!C911,customers!$A$1:$A$1001,customers!$B$1:$B$1001,,0)</f>
        <v>Bobbe Renner</v>
      </c>
      <c r="G911" s="2" t="str">
        <f>IF(_xlfn.XLOOKUP(orders!C911,customers!$A$1:$A$1001,customers!$C$1:$C$1001,,0)=0,"",_xlfn.XLOOKUP(orders!C911,customers!$A$1:$A$1001,customers!$C$1:$C$1001,,0))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6">
        <f t="shared" si="42"/>
        <v>10.754999999999999</v>
      </c>
      <c r="N911" t="str">
        <f t="shared" si="43"/>
        <v>Robusta</v>
      </c>
      <c r="O911"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f>_xlfn.XLOOKUP(orders!C912,customers!$A$1:$A$1001,customers!$B$1:$B$1001,,0)</f>
        <v>Wilton Jallin</v>
      </c>
      <c r="G912" s="2" t="str">
        <f>IF(_xlfn.XLOOKUP(orders!C912,customers!$A$1:$A$1001,customers!$C$1:$C$1001,,0)=0,"",_xlfn.XLOOKUP(orders!C912,customers!$A$1:$A$1001,customers!$C$1:$C$1001,,0))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6">
        <f t="shared" si="42"/>
        <v>91.539999999999992</v>
      </c>
      <c r="N912" t="str">
        <f t="shared" si="43"/>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_xlfn.XLOOKUP(orders!C913,customers!$A$1:$A$1001,customers!$B$1:$B$1001,,0)</f>
        <v>Mindy Bogey</v>
      </c>
      <c r="G913" s="2" t="str">
        <f>IF(_xlfn.XLOOKUP(orders!C913,customers!$A$1:$A$1001,customers!$C$1:$C$1001,,0)=0,"",_xlfn.XLOOKUP(orders!C913,customers!$A$1:$A$1001,customers!$C$1:$C$1001,,0))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6">
        <f t="shared" si="42"/>
        <v>45</v>
      </c>
      <c r="N913" t="str">
        <f t="shared" si="43"/>
        <v>Arabica</v>
      </c>
      <c r="O913"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f>_xlfn.XLOOKUP(orders!C914,customers!$A$1:$A$1001,customers!$B$1:$B$1001,,0)</f>
        <v>Paulie Fonzone</v>
      </c>
      <c r="G914" s="2" t="str">
        <f>IF(_xlfn.XLOOKUP(orders!C914,customers!$A$1:$A$1001,customers!$C$1:$C$1001,,0)=0,"",_xlfn.XLOOKUP(orders!C914,customers!$A$1:$A$1001,customers!$C$1:$C$1001,,0))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6">
        <f t="shared" si="42"/>
        <v>137.31</v>
      </c>
      <c r="N914" t="str">
        <f t="shared" si="43"/>
        <v>Robusta</v>
      </c>
      <c r="O914"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f>_xlfn.XLOOKUP(orders!C915,customers!$A$1:$A$1001,customers!$B$1:$B$1001,,0)</f>
        <v>Merrile Cobbledick</v>
      </c>
      <c r="G915" s="2" t="str">
        <f>IF(_xlfn.XLOOKUP(orders!C915,customers!$A$1:$A$1001,customers!$C$1:$C$1001,,0)=0,"",_xlfn.XLOOKUP(orders!C915,customers!$A$1:$A$1001,customers!$C$1:$C$1001,,0))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6">
        <f t="shared" si="42"/>
        <v>6.75</v>
      </c>
      <c r="N915" t="str">
        <f t="shared" si="43"/>
        <v>Arabica</v>
      </c>
      <c r="O915"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f>_xlfn.XLOOKUP(orders!C916,customers!$A$1:$A$1001,customers!$B$1:$B$1001,,0)</f>
        <v>Antonius Lewry</v>
      </c>
      <c r="G916" s="2" t="str">
        <f>IF(_xlfn.XLOOKUP(orders!C916,customers!$A$1:$A$1001,customers!$C$1:$C$1001,,0)=0,"",_xlfn.XLOOKUP(orders!C916,customers!$A$1:$A$1001,customers!$C$1:$C$1001,,0))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6">
        <f t="shared" si="42"/>
        <v>45</v>
      </c>
      <c r="N916" t="str">
        <f t="shared" si="43"/>
        <v>Arabica</v>
      </c>
      <c r="O916"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f>_xlfn.XLOOKUP(orders!C917,customers!$A$1:$A$1001,customers!$B$1:$B$1001,,0)</f>
        <v>Isis Hessel</v>
      </c>
      <c r="G917" s="2" t="str">
        <f>IF(_xlfn.XLOOKUP(orders!C917,customers!$A$1:$A$1001,customers!$C$1:$C$1001,,0)=0,"",_xlfn.XLOOKUP(orders!C917,customers!$A$1:$A$1001,customers!$C$1:$C$1001,,0))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6">
        <f t="shared" si="42"/>
        <v>83.835000000000008</v>
      </c>
      <c r="N917" t="str">
        <f t="shared" si="43"/>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_xlfn.XLOOKUP(orders!C918,customers!$A$1:$A$1001,customers!$B$1:$B$1001,,0)</f>
        <v>Harland Trematick</v>
      </c>
      <c r="G918" s="2" t="str">
        <f>IF(_xlfn.XLOOKUP(orders!C918,customers!$A$1:$A$1001,customers!$C$1:$C$1001,,0)=0,"",_xlfn.XLOOKUP(orders!C918,customers!$A$1:$A$1001,customers!$C$1:$C$1001,,0))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6">
        <f t="shared" si="42"/>
        <v>3.645</v>
      </c>
      <c r="N918" t="str">
        <f t="shared" si="43"/>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_xlfn.XLOOKUP(orders!C919,customers!$A$1:$A$1001,customers!$B$1:$B$1001,,0)</f>
        <v>Chloris Sorrell</v>
      </c>
      <c r="G919" s="2" t="str">
        <f>IF(_xlfn.XLOOKUP(orders!C919,customers!$A$1:$A$1001,customers!$C$1:$C$1001,,0)=0,"",_xlfn.XLOOKUP(orders!C919,customers!$A$1:$A$1001,customers!$C$1:$C$1001,,0))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6">
        <f t="shared" si="42"/>
        <v>6.75</v>
      </c>
      <c r="N919" t="str">
        <f t="shared" si="43"/>
        <v>Arabica</v>
      </c>
      <c r="O919"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f>_xlfn.XLOOKUP(orders!C920,customers!$A$1:$A$1001,customers!$B$1:$B$1001,,0)</f>
        <v>Chloris Sorrell</v>
      </c>
      <c r="G920" s="2" t="str">
        <f>IF(_xlfn.XLOOKUP(orders!C920,customers!$A$1:$A$1001,customers!$C$1:$C$1001,,0)=0,"",_xlfn.XLOOKUP(orders!C920,customers!$A$1:$A$1001,customers!$C$1:$C$1001,,0))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6">
        <f t="shared" si="42"/>
        <v>21.87</v>
      </c>
      <c r="N920" t="str">
        <f t="shared" si="43"/>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_xlfn.XLOOKUP(orders!C921,customers!$A$1:$A$1001,customers!$B$1:$B$1001,,0)</f>
        <v>Quintina Heavyside</v>
      </c>
      <c r="G921" s="2" t="str">
        <f>IF(_xlfn.XLOOKUP(orders!C921,customers!$A$1:$A$1001,customers!$C$1:$C$1001,,0)=0,"",_xlfn.XLOOKUP(orders!C921,customers!$A$1:$A$1001,customers!$C$1:$C$1001,,0))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6">
        <f t="shared" si="42"/>
        <v>13.424999999999997</v>
      </c>
      <c r="N921" t="str">
        <f t="shared" si="43"/>
        <v>Robusta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_xlfn.XLOOKUP(orders!C922,customers!$A$1:$A$1001,customers!$B$1:$B$1001,,0)</f>
        <v>Hadley Reuven</v>
      </c>
      <c r="G922" s="2" t="str">
        <f>IF(_xlfn.XLOOKUP(orders!C922,customers!$A$1:$A$1001,customers!$C$1:$C$1001,,0)=0,"",_xlfn.XLOOKUP(orders!C922,customers!$A$1:$A$1001,customers!$C$1:$C$1001,,0))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6">
        <f t="shared" si="42"/>
        <v>123.50999999999999</v>
      </c>
      <c r="N922" t="str">
        <f t="shared" si="43"/>
        <v>Robusta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_xlfn.XLOOKUP(orders!C923,customers!$A$1:$A$1001,customers!$B$1:$B$1001,,0)</f>
        <v>Mitch Attwool</v>
      </c>
      <c r="G923" s="2" t="str">
        <f>IF(_xlfn.XLOOKUP(orders!C923,customers!$A$1:$A$1001,customers!$C$1:$C$1001,,0)=0,"",_xlfn.XLOOKUP(orders!C923,customers!$A$1:$A$1001,customers!$C$1:$C$1001,,0))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6">
        <f t="shared" si="42"/>
        <v>7.77</v>
      </c>
      <c r="N923" t="str">
        <f t="shared" si="43"/>
        <v>Liberica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_xlfn.XLOOKUP(orders!C924,customers!$A$1:$A$1001,customers!$B$1:$B$1001,,0)</f>
        <v>Charin Maplethorp</v>
      </c>
      <c r="G924" s="2" t="str">
        <f>IF(_xlfn.XLOOKUP(orders!C924,customers!$A$1:$A$1001,customers!$C$1:$C$1001,,0)=0,"",_xlfn.XLOOKUP(orders!C924,customers!$A$1:$A$1001,customers!$C$1:$C$1001,,0))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6">
        <f t="shared" si="42"/>
        <v>67.5</v>
      </c>
      <c r="N924" t="str">
        <f t="shared" si="43"/>
        <v>Arabica</v>
      </c>
      <c r="O924"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f>_xlfn.XLOOKUP(orders!C925,customers!$A$1:$A$1001,customers!$B$1:$B$1001,,0)</f>
        <v>Goldie Wynes</v>
      </c>
      <c r="G925" s="2" t="str">
        <f>IF(_xlfn.XLOOKUP(orders!C925,customers!$A$1:$A$1001,customers!$C$1:$C$1001,,0)=0,"",_xlfn.XLOOKUP(orders!C925,customers!$A$1:$A$1001,customers!$C$1:$C$1001,,0))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6">
        <f t="shared" si="42"/>
        <v>27.945</v>
      </c>
      <c r="N925" t="str">
        <f t="shared" si="43"/>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_xlfn.XLOOKUP(orders!C926,customers!$A$1:$A$1001,customers!$B$1:$B$1001,,0)</f>
        <v>Celie MacCourt</v>
      </c>
      <c r="G926" s="2" t="str">
        <f>IF(_xlfn.XLOOKUP(orders!C926,customers!$A$1:$A$1001,customers!$C$1:$C$1001,,0)=0,"",_xlfn.XLOOKUP(orders!C926,customers!$A$1:$A$1001,customers!$C$1:$C$1001,,0))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6">
        <f t="shared" si="42"/>
        <v>89.35499999999999</v>
      </c>
      <c r="N926" t="str">
        <f t="shared" si="43"/>
        <v>Arabica</v>
      </c>
      <c r="O926"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f>_xlfn.XLOOKUP(orders!C927,customers!$A$1:$A$1001,customers!$B$1:$B$1001,,0)</f>
        <v>Derick Snow</v>
      </c>
      <c r="G927" s="2" t="str">
        <f>IF(_xlfn.XLOOKUP(orders!C927,customers!$A$1:$A$1001,customers!$C$1:$C$1001,,0)=0,"",_xlfn.XLOOKUP(orders!C927,customers!$A$1:$A$1001,customers!$C$1:$C$1001,,0))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6">
        <f t="shared" si="42"/>
        <v>20.25</v>
      </c>
      <c r="N927" t="str">
        <f t="shared" si="43"/>
        <v>Arabica</v>
      </c>
      <c r="O927"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f>_xlfn.XLOOKUP(orders!C928,customers!$A$1:$A$1001,customers!$B$1:$B$1001,,0)</f>
        <v>Evy Wilsone</v>
      </c>
      <c r="G928" s="2" t="str">
        <f>IF(_xlfn.XLOOKUP(orders!C928,customers!$A$1:$A$1001,customers!$C$1:$C$1001,,0)=0,"",_xlfn.XLOOKUP(orders!C928,customers!$A$1:$A$1001,customers!$C$1:$C$1001,,0))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6">
        <f t="shared" si="42"/>
        <v>33.75</v>
      </c>
      <c r="N928" t="str">
        <f t="shared" si="43"/>
        <v>Arabica</v>
      </c>
      <c r="O928"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f>_xlfn.XLOOKUP(orders!C929,customers!$A$1:$A$1001,customers!$B$1:$B$1001,,0)</f>
        <v>Dolores Duffie</v>
      </c>
      <c r="G929" s="2" t="str">
        <f>IF(_xlfn.XLOOKUP(orders!C929,customers!$A$1:$A$1001,customers!$C$1:$C$1001,,0)=0,"",_xlfn.XLOOKUP(orders!C929,customers!$A$1:$A$1001,customers!$C$1:$C$1001,,0))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6">
        <f t="shared" si="42"/>
        <v>111.78</v>
      </c>
      <c r="N929" t="str">
        <f t="shared" si="43"/>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_xlfn.XLOOKUP(orders!C930,customers!$A$1:$A$1001,customers!$B$1:$B$1001,,0)</f>
        <v>Mathilda Matiasek</v>
      </c>
      <c r="G930" s="2" t="str">
        <f>IF(_xlfn.XLOOKUP(orders!C930,customers!$A$1:$A$1001,customers!$C$1:$C$1001,,0)=0,"",_xlfn.XLOOKUP(orders!C930,customers!$A$1:$A$1001,customers!$C$1:$C$1001,,0))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6">
        <f t="shared" si="42"/>
        <v>63.249999999999993</v>
      </c>
      <c r="N930" t="str">
        <f t="shared" si="43"/>
        <v>Excelsa</v>
      </c>
      <c r="O930"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f>_xlfn.XLOOKUP(orders!C931,customers!$A$1:$A$1001,customers!$B$1:$B$1001,,0)</f>
        <v>Jarred Camillo</v>
      </c>
      <c r="G931" s="2" t="str">
        <f>IF(_xlfn.XLOOKUP(orders!C931,customers!$A$1:$A$1001,customers!$C$1:$C$1001,,0)=0,"",_xlfn.XLOOKUP(orders!C931,customers!$A$1:$A$1001,customers!$C$1:$C$1001,,0))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6">
        <f t="shared" si="42"/>
        <v>8.91</v>
      </c>
      <c r="N931" t="str">
        <f t="shared" si="43"/>
        <v>Excelsa</v>
      </c>
      <c r="O931"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f>_xlfn.XLOOKUP(orders!C932,customers!$A$1:$A$1001,customers!$B$1:$B$1001,,0)</f>
        <v>Kameko Philbrick</v>
      </c>
      <c r="G932" s="2" t="str">
        <f>IF(_xlfn.XLOOKUP(orders!C932,customers!$A$1:$A$1001,customers!$C$1:$C$1001,,0)=0,"",_xlfn.XLOOKUP(orders!C932,customers!$A$1:$A$1001,customers!$C$1:$C$1001,,0))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6">
        <f t="shared" si="42"/>
        <v>12.15</v>
      </c>
      <c r="N932" t="str">
        <f t="shared" si="43"/>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_xlfn.XLOOKUP(orders!C933,customers!$A$1:$A$1001,customers!$B$1:$B$1001,,0)</f>
        <v>Mallory Shrimpling</v>
      </c>
      <c r="G933" s="2" t="str">
        <f>IF(_xlfn.XLOOKUP(orders!C933,customers!$A$1:$A$1001,customers!$C$1:$C$1001,,0)=0,"",_xlfn.XLOOKUP(orders!C933,customers!$A$1:$A$1001,customers!$C$1:$C$1001,,0))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6">
        <f t="shared" si="42"/>
        <v>23.88</v>
      </c>
      <c r="N933" t="str">
        <f t="shared" si="43"/>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_xlfn.XLOOKUP(orders!C934,customers!$A$1:$A$1001,customers!$B$1:$B$1001,,0)</f>
        <v>Barnett Sillis</v>
      </c>
      <c r="G934" s="2" t="str">
        <f>IF(_xlfn.XLOOKUP(orders!C934,customers!$A$1:$A$1001,customers!$C$1:$C$1001,,0)=0,"",_xlfn.XLOOKUP(orders!C934,customers!$A$1:$A$1001,customers!$C$1:$C$1001,,0))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6">
        <f t="shared" si="42"/>
        <v>55</v>
      </c>
      <c r="N934" t="str">
        <f t="shared" si="43"/>
        <v>Excelsa</v>
      </c>
      <c r="O934"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f>_xlfn.XLOOKUP(orders!C935,customers!$A$1:$A$1001,customers!$B$1:$B$1001,,0)</f>
        <v>Brenn Dundredge</v>
      </c>
      <c r="G935" s="2" t="str">
        <f>IF(_xlfn.XLOOKUP(orders!C935,customers!$A$1:$A$1001,customers!$C$1:$C$1001,,0)=0,"",_xlfn.XLOOKUP(orders!C935,customers!$A$1:$A$1001,customers!$C$1:$C$1001,,0))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6">
        <f t="shared" si="42"/>
        <v>26.849999999999998</v>
      </c>
      <c r="N935" t="str">
        <f t="shared" si="43"/>
        <v>Robusta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_xlfn.XLOOKUP(orders!C936,customers!$A$1:$A$1001,customers!$B$1:$B$1001,,0)</f>
        <v>Read Cutts</v>
      </c>
      <c r="G936" s="2" t="str">
        <f>IF(_xlfn.XLOOKUP(orders!C936,customers!$A$1:$A$1001,customers!$C$1:$C$1001,,0)=0,"",_xlfn.XLOOKUP(orders!C936,customers!$A$1:$A$1001,customers!$C$1:$C$1001,,0))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6">
        <f t="shared" si="42"/>
        <v>114.42499999999998</v>
      </c>
      <c r="N936" t="str">
        <f t="shared" si="43"/>
        <v>Robusta</v>
      </c>
      <c r="O936"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f>_xlfn.XLOOKUP(orders!C937,customers!$A$1:$A$1001,customers!$B$1:$B$1001,,0)</f>
        <v>Michale Delves</v>
      </c>
      <c r="G937" s="2" t="str">
        <f>IF(_xlfn.XLOOKUP(orders!C937,customers!$A$1:$A$1001,customers!$C$1:$C$1001,,0)=0,"",_xlfn.XLOOKUP(orders!C937,customers!$A$1:$A$1001,customers!$C$1:$C$1001,,0))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6">
        <f t="shared" si="42"/>
        <v>155.24999999999997</v>
      </c>
      <c r="N937" t="str">
        <f t="shared" si="43"/>
        <v>Arabica</v>
      </c>
      <c r="O937"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f>_xlfn.XLOOKUP(orders!C938,customers!$A$1:$A$1001,customers!$B$1:$B$1001,,0)</f>
        <v>Devland Gritton</v>
      </c>
      <c r="G938" s="2" t="str">
        <f>IF(_xlfn.XLOOKUP(orders!C938,customers!$A$1:$A$1001,customers!$C$1:$C$1001,,0)=0,"",_xlfn.XLOOKUP(orders!C938,customers!$A$1:$A$1001,customers!$C$1:$C$1001,,0))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6">
        <f t="shared" si="42"/>
        <v>23.31</v>
      </c>
      <c r="N938" t="str">
        <f t="shared" si="43"/>
        <v>Liberica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_xlfn.XLOOKUP(orders!C939,customers!$A$1:$A$1001,customers!$B$1:$B$1001,,0)</f>
        <v>Devland Gritton</v>
      </c>
      <c r="G939" s="2" t="str">
        <f>IF(_xlfn.XLOOKUP(orders!C939,customers!$A$1:$A$1001,customers!$C$1:$C$1001,,0)=0,"",_xlfn.XLOOKUP(orders!C939,customers!$A$1:$A$1001,customers!$C$1:$C$1001,,0))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6">
        <f t="shared" si="42"/>
        <v>91.539999999999992</v>
      </c>
      <c r="N939" t="str">
        <f t="shared" si="43"/>
        <v>Robusta</v>
      </c>
      <c r="O939"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f>_xlfn.XLOOKUP(orders!C940,customers!$A$1:$A$1001,customers!$B$1:$B$1001,,0)</f>
        <v>Dell Gut</v>
      </c>
      <c r="G940" s="2" t="str">
        <f>IF(_xlfn.XLOOKUP(orders!C940,customers!$A$1:$A$1001,customers!$C$1:$C$1001,,0)=0,"",_xlfn.XLOOKUP(orders!C940,customers!$A$1:$A$1001,customers!$C$1:$C$1001,,0))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6">
        <f t="shared" si="42"/>
        <v>74.25</v>
      </c>
      <c r="N940" t="str">
        <f t="shared" si="43"/>
        <v>Excelsa</v>
      </c>
      <c r="O940"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f>_xlfn.XLOOKUP(orders!C941,customers!$A$1:$A$1001,customers!$B$1:$B$1001,,0)</f>
        <v>Willy Pummery</v>
      </c>
      <c r="G941" s="2" t="str">
        <f>IF(_xlfn.XLOOKUP(orders!C941,customers!$A$1:$A$1001,customers!$C$1:$C$1001,,0)=0,"",_xlfn.XLOOKUP(orders!C941,customers!$A$1:$A$1001,customers!$C$1:$C$1001,,0))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6">
        <f t="shared" si="42"/>
        <v>28.53</v>
      </c>
      <c r="N941" t="str">
        <f t="shared" si="43"/>
        <v>Liberica</v>
      </c>
      <c r="O941"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f>_xlfn.XLOOKUP(orders!C942,customers!$A$1:$A$1001,customers!$B$1:$B$1001,,0)</f>
        <v>Geoffrey Siuda</v>
      </c>
      <c r="G942" s="2" t="str">
        <f>IF(_xlfn.XLOOKUP(orders!C942,customers!$A$1:$A$1001,customers!$C$1:$C$1001,,0)=0,"",_xlfn.XLOOKUP(orders!C942,customers!$A$1:$A$1001,customers!$C$1:$C$1001,,0))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6">
        <f t="shared" si="42"/>
        <v>14.339999999999998</v>
      </c>
      <c r="N942" t="str">
        <f t="shared" si="43"/>
        <v>Robusta</v>
      </c>
      <c r="O94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f>_xlfn.XLOOKUP(orders!C943,customers!$A$1:$A$1001,customers!$B$1:$B$1001,,0)</f>
        <v>Henderson Crowne</v>
      </c>
      <c r="G943" s="2" t="str">
        <f>IF(_xlfn.XLOOKUP(orders!C943,customers!$A$1:$A$1001,customers!$C$1:$C$1001,,0)=0,"",_xlfn.XLOOKUP(orders!C943,customers!$A$1:$A$1001,customers!$C$1:$C$1001,,0))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6">
        <f t="shared" si="42"/>
        <v>15.54</v>
      </c>
      <c r="N943" t="str">
        <f t="shared" si="43"/>
        <v>Arabica</v>
      </c>
      <c r="O943"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f>_xlfn.XLOOKUP(orders!C944,customers!$A$1:$A$1001,customers!$B$1:$B$1001,,0)</f>
        <v>Vernor Pawsey</v>
      </c>
      <c r="G944" s="2" t="str">
        <f>IF(_xlfn.XLOOKUP(orders!C944,customers!$A$1:$A$1001,customers!$C$1:$C$1001,,0)=0,"",_xlfn.XLOOKUP(orders!C944,customers!$A$1:$A$1001,customers!$C$1:$C$1001,,0))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6">
        <f t="shared" si="42"/>
        <v>35.849999999999994</v>
      </c>
      <c r="N944" t="str">
        <f t="shared" si="43"/>
        <v>Robusta</v>
      </c>
      <c r="O944"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f>_xlfn.XLOOKUP(orders!C945,customers!$A$1:$A$1001,customers!$B$1:$B$1001,,0)</f>
        <v>Augustin Waterhouse</v>
      </c>
      <c r="G945" s="2" t="str">
        <f>IF(_xlfn.XLOOKUP(orders!C945,customers!$A$1:$A$1001,customers!$C$1:$C$1001,,0)=0,"",_xlfn.XLOOKUP(orders!C945,customers!$A$1:$A$1001,customers!$C$1:$C$1001,,0))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6">
        <f t="shared" si="42"/>
        <v>46.62</v>
      </c>
      <c r="N945" t="str">
        <f t="shared" si="43"/>
        <v>Arabica</v>
      </c>
      <c r="O945"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f>_xlfn.XLOOKUP(orders!C946,customers!$A$1:$A$1001,customers!$B$1:$B$1001,,0)</f>
        <v>Fanchon Haughian</v>
      </c>
      <c r="G946" s="2" t="str">
        <f>IF(_xlfn.XLOOKUP(orders!C946,customers!$A$1:$A$1001,customers!$C$1:$C$1001,,0)=0,"",_xlfn.XLOOKUP(orders!C946,customers!$A$1:$A$1001,customers!$C$1:$C$1001,,0))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6">
        <f t="shared" si="42"/>
        <v>35.849999999999994</v>
      </c>
      <c r="N946" t="str">
        <f t="shared" si="43"/>
        <v>Robusta</v>
      </c>
      <c r="O946"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f>_xlfn.XLOOKUP(orders!C947,customers!$A$1:$A$1001,customers!$B$1:$B$1001,,0)</f>
        <v>Jaimie Hatz</v>
      </c>
      <c r="G947" s="2" t="str">
        <f>IF(_xlfn.XLOOKUP(orders!C947,customers!$A$1:$A$1001,customers!$C$1:$C$1001,,0)=0,"",_xlfn.XLOOKUP(orders!C947,customers!$A$1:$A$1001,customers!$C$1:$C$1001,,0))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6">
        <f t="shared" si="42"/>
        <v>119.13999999999999</v>
      </c>
      <c r="N947" t="str">
        <f t="shared" si="43"/>
        <v>Liberica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_xlfn.XLOOKUP(orders!C948,customers!$A$1:$A$1001,customers!$B$1:$B$1001,,0)</f>
        <v>Edeline Edney</v>
      </c>
      <c r="G948" s="2" t="str">
        <f>IF(_xlfn.XLOOKUP(orders!C948,customers!$A$1:$A$1001,customers!$C$1:$C$1001,,0)=0,"",_xlfn.XLOOKUP(orders!C948,customers!$A$1:$A$1001,customers!$C$1:$C$1001,,0))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6">
        <f t="shared" si="42"/>
        <v>23.31</v>
      </c>
      <c r="N948" t="str">
        <f t="shared" si="43"/>
        <v>Liberica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_xlfn.XLOOKUP(orders!C949,customers!$A$1:$A$1001,customers!$B$1:$B$1001,,0)</f>
        <v>Rickie Faltin</v>
      </c>
      <c r="G949" s="2" t="str">
        <f>IF(_xlfn.XLOOKUP(orders!C949,customers!$A$1:$A$1001,customers!$C$1:$C$1001,,0)=0,"",_xlfn.XLOOKUP(orders!C949,customers!$A$1:$A$1001,customers!$C$1:$C$1001,,0))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6">
        <f t="shared" si="42"/>
        <v>11.25</v>
      </c>
      <c r="N949" t="str">
        <f t="shared" si="43"/>
        <v>Arabica</v>
      </c>
      <c r="O949"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f>_xlfn.XLOOKUP(orders!C950,customers!$A$1:$A$1001,customers!$B$1:$B$1001,,0)</f>
        <v>Gnni Cheeke</v>
      </c>
      <c r="G950" s="2" t="str">
        <f>IF(_xlfn.XLOOKUP(orders!C950,customers!$A$1:$A$1001,customers!$C$1:$C$1001,,0)=0,"",_xlfn.XLOOKUP(orders!C950,customers!$A$1:$A$1001,customers!$C$1:$C$1001,,0))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6">
        <f t="shared" si="42"/>
        <v>83.835000000000008</v>
      </c>
      <c r="N950" t="str">
        <f t="shared" si="43"/>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_xlfn.XLOOKUP(orders!C951,customers!$A$1:$A$1001,customers!$B$1:$B$1001,,0)</f>
        <v>Gwenni Ratt</v>
      </c>
      <c r="G951" s="2" t="str">
        <f>IF(_xlfn.XLOOKUP(orders!C951,customers!$A$1:$A$1001,customers!$C$1:$C$1001,,0)=0,"",_xlfn.XLOOKUP(orders!C951,customers!$A$1:$A$1001,customers!$C$1:$C$1001,,0))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6">
        <f t="shared" si="42"/>
        <v>109.93999999999998</v>
      </c>
      <c r="N951" t="str">
        <f t="shared" si="43"/>
        <v>Robusta</v>
      </c>
      <c r="O951"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f>_xlfn.XLOOKUP(orders!C952,customers!$A$1:$A$1001,customers!$B$1:$B$1001,,0)</f>
        <v>Johnath Fairebrother</v>
      </c>
      <c r="G952" s="2" t="str">
        <f>IF(_xlfn.XLOOKUP(orders!C952,customers!$A$1:$A$1001,customers!$C$1:$C$1001,,0)=0,"",_xlfn.XLOOKUP(orders!C952,customers!$A$1:$A$1001,customers!$C$1:$C$1001,,0))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6">
        <f t="shared" si="42"/>
        <v>14.339999999999998</v>
      </c>
      <c r="N952" t="str">
        <f t="shared" si="43"/>
        <v>Robusta</v>
      </c>
      <c r="O95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f>_xlfn.XLOOKUP(orders!C953,customers!$A$1:$A$1001,customers!$B$1:$B$1001,,0)</f>
        <v>Ingamar Eberlein</v>
      </c>
      <c r="G953" s="2" t="str">
        <f>IF(_xlfn.XLOOKUP(orders!C953,customers!$A$1:$A$1001,customers!$C$1:$C$1001,,0)=0,"",_xlfn.XLOOKUP(orders!C953,customers!$A$1:$A$1001,customers!$C$1:$C$1001,,0))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6">
        <f t="shared" si="42"/>
        <v>21.509999999999998</v>
      </c>
      <c r="N953" t="str">
        <f t="shared" si="43"/>
        <v>Robusta</v>
      </c>
      <c r="O953"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f>_xlfn.XLOOKUP(orders!C954,customers!$A$1:$A$1001,customers!$B$1:$B$1001,,0)</f>
        <v>Jilly Dreng</v>
      </c>
      <c r="G954" s="2" t="str">
        <f>IF(_xlfn.XLOOKUP(orders!C954,customers!$A$1:$A$1001,customers!$C$1:$C$1001,,0)=0,"",_xlfn.XLOOKUP(orders!C954,customers!$A$1:$A$1001,customers!$C$1:$C$1001,,0))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6">
        <f t="shared" si="42"/>
        <v>22.5</v>
      </c>
      <c r="N954" t="str">
        <f t="shared" si="43"/>
        <v>Arabica</v>
      </c>
      <c r="O954"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f>_xlfn.XLOOKUP(orders!C955,customers!$A$1:$A$1001,customers!$B$1:$B$1001,,0)</f>
        <v>Brenn Dundredge</v>
      </c>
      <c r="G955" s="2" t="str">
        <f>IF(_xlfn.XLOOKUP(orders!C955,customers!$A$1:$A$1001,customers!$C$1:$C$1001,,0)=0,"",_xlfn.XLOOKUP(orders!C955,customers!$A$1:$A$1001,customers!$C$1:$C$1001,,0))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6">
        <f>L955*E955</f>
        <v>3.8849999999999998</v>
      </c>
      <c r="N955" t="str">
        <f t="shared" si="43"/>
        <v>Arabica</v>
      </c>
      <c r="O955"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f>_xlfn.XLOOKUP(orders!C956,customers!$A$1:$A$1001,customers!$B$1:$B$1001,,0)</f>
        <v>Brenn Dundredge</v>
      </c>
      <c r="G956" s="2" t="str">
        <f>IF(_xlfn.XLOOKUP(orders!C956,customers!$A$1:$A$1001,customers!$C$1:$C$1001,,0)=0,"",_xlfn.XLOOKUP(orders!C956,customers!$A$1:$A$1001,customers!$C$1:$C$1001,,0))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6">
        <f t="shared" si="42"/>
        <v>27.945</v>
      </c>
      <c r="N956" t="str">
        <f t="shared" si="43"/>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_xlfn.XLOOKUP(orders!C957,customers!$A$1:$A$1001,customers!$B$1:$B$1001,,0)</f>
        <v>Brenn Dundredge</v>
      </c>
      <c r="G957" s="2" t="str">
        <f>IF(_xlfn.XLOOKUP(orders!C957,customers!$A$1:$A$1001,customers!$C$1:$C$1001,,0)=0,"",_xlfn.XLOOKUP(orders!C957,customers!$A$1:$A$1001,customers!$C$1:$C$1001,,0))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6">
        <f t="shared" si="42"/>
        <v>170.77499999999998</v>
      </c>
      <c r="N957" t="str">
        <f t="shared" si="43"/>
        <v>Excelsa</v>
      </c>
      <c r="O957"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f>_xlfn.XLOOKUP(orders!C958,customers!$A$1:$A$1001,customers!$B$1:$B$1001,,0)</f>
        <v>Brenn Dundredge</v>
      </c>
      <c r="G958" s="2" t="str">
        <f>IF(_xlfn.XLOOKUP(orders!C958,customers!$A$1:$A$1001,customers!$C$1:$C$1001,,0)=0,"",_xlfn.XLOOKUP(orders!C958,customers!$A$1:$A$1001,customers!$C$1:$C$1001,,0))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6">
        <f t="shared" si="42"/>
        <v>54.969999999999992</v>
      </c>
      <c r="N958" t="str">
        <f t="shared" si="43"/>
        <v>Robusta</v>
      </c>
      <c r="O958"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f>_xlfn.XLOOKUP(orders!C959,customers!$A$1:$A$1001,customers!$B$1:$B$1001,,0)</f>
        <v>Brenn Dundredge</v>
      </c>
      <c r="G959" s="2" t="str">
        <f>IF(_xlfn.XLOOKUP(orders!C959,customers!$A$1:$A$1001,customers!$C$1:$C$1001,,0)=0,"",_xlfn.XLOOKUP(orders!C959,customers!$A$1:$A$1001,customers!$C$1:$C$1001,,0))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6">
        <f t="shared" si="42"/>
        <v>14.85</v>
      </c>
      <c r="N959" t="str">
        <f t="shared" si="43"/>
        <v>Excelsa</v>
      </c>
      <c r="O959"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f>_xlfn.XLOOKUP(orders!C960,customers!$A$1:$A$1001,customers!$B$1:$B$1001,,0)</f>
        <v>Brenn Dundredge</v>
      </c>
      <c r="G960" s="2" t="str">
        <f>IF(_xlfn.XLOOKUP(orders!C960,customers!$A$1:$A$1001,customers!$C$1:$C$1001,,0)=0,"",_xlfn.XLOOKUP(orders!C960,customers!$A$1:$A$1001,customers!$C$1:$C$1001,,0))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6">
        <f t="shared" si="42"/>
        <v>7.77</v>
      </c>
      <c r="N960" t="str">
        <f t="shared" si="43"/>
        <v>Arabica</v>
      </c>
      <c r="O960"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f>_xlfn.XLOOKUP(orders!C961,customers!$A$1:$A$1001,customers!$B$1:$B$1001,,0)</f>
        <v>Rhodie Strathern</v>
      </c>
      <c r="G961" s="2" t="str">
        <f>IF(_xlfn.XLOOKUP(orders!C961,customers!$A$1:$A$1001,customers!$C$1:$C$1001,,0)=0,"",_xlfn.XLOOKUP(orders!C961,customers!$A$1:$A$1001,customers!$C$1:$C$1001,,0))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6">
        <f t="shared" si="42"/>
        <v>23.774999999999999</v>
      </c>
      <c r="N961" t="str">
        <f t="shared" si="43"/>
        <v>Liberica</v>
      </c>
      <c r="O961"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f>_xlfn.XLOOKUP(orders!C962,customers!$A$1:$A$1001,customers!$B$1:$B$1001,,0)</f>
        <v>Chad Miguel</v>
      </c>
      <c r="G962" s="2" t="str">
        <f>IF(_xlfn.XLOOKUP(orders!C962,customers!$A$1:$A$1001,customers!$C$1:$C$1001,,0)=0,"",_xlfn.XLOOKUP(orders!C962,customers!$A$1:$A$1001,customers!$C$1:$C$1001,,0))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6">
        <f t="shared" si="42"/>
        <v>79.25</v>
      </c>
      <c r="N962" t="str">
        <f t="shared" si="43"/>
        <v>Liberica</v>
      </c>
      <c r="O96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f>_xlfn.XLOOKUP(orders!C963,customers!$A$1:$A$1001,customers!$B$1:$B$1001,,0)</f>
        <v>Florinda Matusovsky</v>
      </c>
      <c r="G963" s="2" t="str">
        <f>IF(_xlfn.XLOOKUP(orders!C963,customers!$A$1:$A$1001,customers!$C$1:$C$1001,,0)=0,"",_xlfn.XLOOKUP(orders!C963,customers!$A$1:$A$1001,customers!$C$1:$C$1001,,0))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6">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_xlfn.XLOOKUP(orders!C964,customers!$A$1:$A$1001,customers!$B$1:$B$1001,,0)</f>
        <v>Morly Rocks</v>
      </c>
      <c r="G964" s="2" t="str">
        <f>IF(_xlfn.XLOOKUP(orders!C964,customers!$A$1:$A$1001,customers!$C$1:$C$1001,,0)=0,"",_xlfn.XLOOKUP(orders!C964,customers!$A$1:$A$1001,customers!$C$1:$C$1001,,0))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6">
        <f t="shared" si="45"/>
        <v>8.9499999999999993</v>
      </c>
      <c r="N964" t="str">
        <f t="shared" si="46"/>
        <v>Robusta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_xlfn.XLOOKUP(orders!C965,customers!$A$1:$A$1001,customers!$B$1:$B$1001,,0)</f>
        <v>Yuri Burrells</v>
      </c>
      <c r="G965" s="2" t="str">
        <f>IF(_xlfn.XLOOKUP(orders!C965,customers!$A$1:$A$1001,customers!$C$1:$C$1001,,0)=0,"",_xlfn.XLOOKUP(orders!C965,customers!$A$1:$A$1001,customers!$C$1:$C$1001,,0))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6">
        <f t="shared" si="45"/>
        <v>23.88</v>
      </c>
      <c r="N965" t="str">
        <f t="shared" si="46"/>
        <v>Robusta</v>
      </c>
      <c r="O965"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f>_xlfn.XLOOKUP(orders!C966,customers!$A$1:$A$1001,customers!$B$1:$B$1001,,0)</f>
        <v>Cleopatra Goodrum</v>
      </c>
      <c r="G966" s="2" t="str">
        <f>IF(_xlfn.XLOOKUP(orders!C966,customers!$A$1:$A$1001,customers!$C$1:$C$1001,,0)=0,"",_xlfn.XLOOKUP(orders!C966,customers!$A$1:$A$1001,customers!$C$1:$C$1001,,0))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6">
        <f t="shared" si="45"/>
        <v>22.274999999999999</v>
      </c>
      <c r="N966" t="str">
        <f t="shared" si="46"/>
        <v>Excelsa</v>
      </c>
      <c r="O966"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f>_xlfn.XLOOKUP(orders!C967,customers!$A$1:$A$1001,customers!$B$1:$B$1001,,0)</f>
        <v>Joey Jefferys</v>
      </c>
      <c r="G967" s="2" t="str">
        <f>IF(_xlfn.XLOOKUP(orders!C967,customers!$A$1:$A$1001,customers!$C$1:$C$1001,,0)=0,"",_xlfn.XLOOKUP(orders!C967,customers!$A$1:$A$1001,customers!$C$1:$C$1001,,0))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6">
        <f t="shared" si="45"/>
        <v>29.849999999999998</v>
      </c>
      <c r="N967" t="str">
        <f t="shared" si="46"/>
        <v>Robusta</v>
      </c>
      <c r="O967"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f>_xlfn.XLOOKUP(orders!C968,customers!$A$1:$A$1001,customers!$B$1:$B$1001,,0)</f>
        <v>Bearnard Wardell</v>
      </c>
      <c r="G968" s="2" t="str">
        <f>IF(_xlfn.XLOOKUP(orders!C968,customers!$A$1:$A$1001,customers!$C$1:$C$1001,,0)=0,"",_xlfn.XLOOKUP(orders!C968,customers!$A$1:$A$1001,customers!$C$1:$C$1001,,0))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6">
        <f t="shared" si="45"/>
        <v>53.46</v>
      </c>
      <c r="N968" t="str">
        <f t="shared" si="46"/>
        <v>Excelsa</v>
      </c>
      <c r="O968"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f>_xlfn.XLOOKUP(orders!C969,customers!$A$1:$A$1001,customers!$B$1:$B$1001,,0)</f>
        <v>Zeke Walisiak</v>
      </c>
      <c r="G969" s="2" t="str">
        <f>IF(_xlfn.XLOOKUP(orders!C969,customers!$A$1:$A$1001,customers!$C$1:$C$1001,,0)=0,"",_xlfn.XLOOKUP(orders!C969,customers!$A$1:$A$1001,customers!$C$1:$C$1001,,0))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6">
        <f t="shared" si="45"/>
        <v>2.6849999999999996</v>
      </c>
      <c r="N969" t="str">
        <f t="shared" si="46"/>
        <v>Robusta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_xlfn.XLOOKUP(orders!C970,customers!$A$1:$A$1001,customers!$B$1:$B$1001,,0)</f>
        <v>Wiley Leopold</v>
      </c>
      <c r="G970" s="2" t="str">
        <f>IF(_xlfn.XLOOKUP(orders!C970,customers!$A$1:$A$1001,customers!$C$1:$C$1001,,0)=0,"",_xlfn.XLOOKUP(orders!C970,customers!$A$1:$A$1001,customers!$C$1:$C$1001,,0))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6">
        <f t="shared" si="45"/>
        <v>5.97</v>
      </c>
      <c r="N970" t="str">
        <f t="shared" si="46"/>
        <v>Robusta</v>
      </c>
      <c r="O970"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f>_xlfn.XLOOKUP(orders!C971,customers!$A$1:$A$1001,customers!$B$1:$B$1001,,0)</f>
        <v>Chiarra Shalders</v>
      </c>
      <c r="G971" s="2" t="str">
        <f>IF(_xlfn.XLOOKUP(orders!C971,customers!$A$1:$A$1001,customers!$C$1:$C$1001,,0)=0,"",_xlfn.XLOOKUP(orders!C971,customers!$A$1:$A$1001,customers!$C$1:$C$1001,,0))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6">
        <f t="shared" si="45"/>
        <v>12.95</v>
      </c>
      <c r="N971" t="str">
        <f t="shared" si="46"/>
        <v>Liberica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_xlfn.XLOOKUP(orders!C972,customers!$A$1:$A$1001,customers!$B$1:$B$1001,,0)</f>
        <v>Sharl Southerill</v>
      </c>
      <c r="G972" s="2" t="str">
        <f>IF(_xlfn.XLOOKUP(orders!C972,customers!$A$1:$A$1001,customers!$C$1:$C$1001,,0)=0,"",_xlfn.XLOOKUP(orders!C972,customers!$A$1:$A$1001,customers!$C$1:$C$1001,,0))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6">
        <f t="shared" si="45"/>
        <v>8.25</v>
      </c>
      <c r="N972" t="str">
        <f t="shared" si="46"/>
        <v>Excelsa</v>
      </c>
      <c r="O97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f>_xlfn.XLOOKUP(orders!C973,customers!$A$1:$A$1001,customers!$B$1:$B$1001,,0)</f>
        <v>Noni Furber</v>
      </c>
      <c r="G973" s="2" t="str">
        <f>IF(_xlfn.XLOOKUP(orders!C973,customers!$A$1:$A$1001,customers!$C$1:$C$1001,,0)=0,"",_xlfn.XLOOKUP(orders!C973,customers!$A$1:$A$1001,customers!$C$1:$C$1001,,0))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6">
        <f t="shared" si="45"/>
        <v>148.92499999999998</v>
      </c>
      <c r="N973" t="str">
        <f t="shared" si="46"/>
        <v>Arabica</v>
      </c>
      <c r="O973"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f>_xlfn.XLOOKUP(orders!C974,customers!$A$1:$A$1001,customers!$B$1:$B$1001,,0)</f>
        <v>Dinah Crutcher</v>
      </c>
      <c r="G974" s="2" t="str">
        <f>IF(_xlfn.XLOOKUP(orders!C974,customers!$A$1:$A$1001,customers!$C$1:$C$1001,,0)=0,"",_xlfn.XLOOKUP(orders!C974,customers!$A$1:$A$1001,customers!$C$1:$C$1001,,0))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6">
        <f t="shared" si="45"/>
        <v>89.35499999999999</v>
      </c>
      <c r="N974" t="str">
        <f t="shared" si="46"/>
        <v>Arabica</v>
      </c>
      <c r="O974"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f>_xlfn.XLOOKUP(orders!C975,customers!$A$1:$A$1001,customers!$B$1:$B$1001,,0)</f>
        <v>Charlean Keave</v>
      </c>
      <c r="G975" s="2" t="str">
        <f>IF(_xlfn.XLOOKUP(orders!C975,customers!$A$1:$A$1001,customers!$C$1:$C$1001,,0)=0,"",_xlfn.XLOOKUP(orders!C975,customers!$A$1:$A$1001,customers!$C$1:$C$1001,,0))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6">
        <f t="shared" si="45"/>
        <v>87.300000000000011</v>
      </c>
      <c r="N975" t="str">
        <f t="shared" si="46"/>
        <v>Liberica</v>
      </c>
      <c r="O975"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f>_xlfn.XLOOKUP(orders!C976,customers!$A$1:$A$1001,customers!$B$1:$B$1001,,0)</f>
        <v>Sada Roseborough</v>
      </c>
      <c r="G976" s="2" t="str">
        <f>IF(_xlfn.XLOOKUP(orders!C976,customers!$A$1:$A$1001,customers!$C$1:$C$1001,,0)=0,"",_xlfn.XLOOKUP(orders!C976,customers!$A$1:$A$1001,customers!$C$1:$C$1001,,0))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6">
        <f t="shared" si="45"/>
        <v>5.3699999999999992</v>
      </c>
      <c r="N976" t="str">
        <f t="shared" si="46"/>
        <v>Robusta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_xlfn.XLOOKUP(orders!C977,customers!$A$1:$A$1001,customers!$B$1:$B$1001,,0)</f>
        <v>Clayton Kingwell</v>
      </c>
      <c r="G977" s="2" t="str">
        <f>IF(_xlfn.XLOOKUP(orders!C977,customers!$A$1:$A$1001,customers!$C$1:$C$1001,,0)=0,"",_xlfn.XLOOKUP(orders!C977,customers!$A$1:$A$1001,customers!$C$1:$C$1001,,0))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6">
        <f t="shared" si="45"/>
        <v>8.9550000000000001</v>
      </c>
      <c r="N977" t="str">
        <f t="shared" si="46"/>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_xlfn.XLOOKUP(orders!C978,customers!$A$1:$A$1001,customers!$B$1:$B$1001,,0)</f>
        <v>Kacy Canto</v>
      </c>
      <c r="G978" s="2" t="str">
        <f>IF(_xlfn.XLOOKUP(orders!C978,customers!$A$1:$A$1001,customers!$C$1:$C$1001,,0)=0,"",_xlfn.XLOOKUP(orders!C978,customers!$A$1:$A$1001,customers!$C$1:$C$1001,,0))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6">
        <f t="shared" si="45"/>
        <v>137.42499999999998</v>
      </c>
      <c r="N978" t="str">
        <f t="shared" si="46"/>
        <v>Robusta</v>
      </c>
      <c r="O978"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f>_xlfn.XLOOKUP(orders!C979,customers!$A$1:$A$1001,customers!$B$1:$B$1001,,0)</f>
        <v>Mab Blakemore</v>
      </c>
      <c r="G979" s="2" t="str">
        <f>IF(_xlfn.XLOOKUP(orders!C979,customers!$A$1:$A$1001,customers!$C$1:$C$1001,,0)=0,"",_xlfn.XLOOKUP(orders!C979,customers!$A$1:$A$1001,customers!$C$1:$C$1001,,0))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6">
        <f t="shared" si="45"/>
        <v>59.75</v>
      </c>
      <c r="N979" t="str">
        <f t="shared" si="46"/>
        <v>Robusta</v>
      </c>
      <c r="O979"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f>_xlfn.XLOOKUP(orders!C980,customers!$A$1:$A$1001,customers!$B$1:$B$1001,,0)</f>
        <v>Charlean Keave</v>
      </c>
      <c r="G980" s="2" t="str">
        <f>IF(_xlfn.XLOOKUP(orders!C980,customers!$A$1:$A$1001,customers!$C$1:$C$1001,,0)=0,"",_xlfn.XLOOKUP(orders!C980,customers!$A$1:$A$1001,customers!$C$1:$C$1001,,0))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6">
        <f t="shared" si="45"/>
        <v>23.31</v>
      </c>
      <c r="N980" t="str">
        <f t="shared" si="46"/>
        <v>Arabica</v>
      </c>
      <c r="O980"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f>_xlfn.XLOOKUP(orders!C981,customers!$A$1:$A$1001,customers!$B$1:$B$1001,,0)</f>
        <v>Javier Causnett</v>
      </c>
      <c r="G981" s="2" t="str">
        <f>IF(_xlfn.XLOOKUP(orders!C981,customers!$A$1:$A$1001,customers!$C$1:$C$1001,,0)=0,"",_xlfn.XLOOKUP(orders!C981,customers!$A$1:$A$1001,customers!$C$1:$C$1001,,0))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6">
        <f t="shared" si="45"/>
        <v>10.739999999999998</v>
      </c>
      <c r="N981" t="str">
        <f t="shared" si="46"/>
        <v>Robusta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_xlfn.XLOOKUP(orders!C982,customers!$A$1:$A$1001,customers!$B$1:$B$1001,,0)</f>
        <v>Demetris Micheli</v>
      </c>
      <c r="G982" s="2" t="str">
        <f>IF(_xlfn.XLOOKUP(orders!C982,customers!$A$1:$A$1001,customers!$C$1:$C$1001,,0)=0,"",_xlfn.XLOOKUP(orders!C982,customers!$A$1:$A$1001,customers!$C$1:$C$1001,,0))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6">
        <f t="shared" si="45"/>
        <v>167.67000000000002</v>
      </c>
      <c r="N982" t="str">
        <f t="shared" si="46"/>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_xlfn.XLOOKUP(orders!C983,customers!$A$1:$A$1001,customers!$B$1:$B$1001,,0)</f>
        <v>Chloette Bernardot</v>
      </c>
      <c r="G983" s="2" t="str">
        <f>IF(_xlfn.XLOOKUP(orders!C983,customers!$A$1:$A$1001,customers!$C$1:$C$1001,,0)=0,"",_xlfn.XLOOKUP(orders!C983,customers!$A$1:$A$1001,customers!$C$1:$C$1001,,0))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6">
        <f t="shared" si="45"/>
        <v>21.87</v>
      </c>
      <c r="N983" t="str">
        <f t="shared" si="46"/>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_xlfn.XLOOKUP(orders!C984,customers!$A$1:$A$1001,customers!$B$1:$B$1001,,0)</f>
        <v>Kim Kemery</v>
      </c>
      <c r="G984" s="2" t="str">
        <f>IF(_xlfn.XLOOKUP(orders!C984,customers!$A$1:$A$1001,customers!$C$1:$C$1001,,0)=0,"",_xlfn.XLOOKUP(orders!C984,customers!$A$1:$A$1001,customers!$C$1:$C$1001,,0))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6">
        <f t="shared" si="45"/>
        <v>23.9</v>
      </c>
      <c r="N984" t="str">
        <f t="shared" si="46"/>
        <v>Robusta</v>
      </c>
      <c r="O984"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f>_xlfn.XLOOKUP(orders!C985,customers!$A$1:$A$1001,customers!$B$1:$B$1001,,0)</f>
        <v>Fanchette Parlot</v>
      </c>
      <c r="G985" s="2" t="str">
        <f>IF(_xlfn.XLOOKUP(orders!C985,customers!$A$1:$A$1001,customers!$C$1:$C$1001,,0)=0,"",_xlfn.XLOOKUP(orders!C985,customers!$A$1:$A$1001,customers!$C$1:$C$1001,,0))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6">
        <f t="shared" si="45"/>
        <v>6.75</v>
      </c>
      <c r="N985" t="str">
        <f t="shared" si="46"/>
        <v>Arabica</v>
      </c>
      <c r="O985"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f>_xlfn.XLOOKUP(orders!C986,customers!$A$1:$A$1001,customers!$B$1:$B$1001,,0)</f>
        <v>Ramon Cheak</v>
      </c>
      <c r="G986" s="2" t="str">
        <f>IF(_xlfn.XLOOKUP(orders!C986,customers!$A$1:$A$1001,customers!$C$1:$C$1001,,0)=0,"",_xlfn.XLOOKUP(orders!C986,customers!$A$1:$A$1001,customers!$C$1:$C$1001,,0))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6">
        <f t="shared" si="45"/>
        <v>31.624999999999996</v>
      </c>
      <c r="N986" t="str">
        <f t="shared" si="46"/>
        <v>Excelsa</v>
      </c>
      <c r="O986"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f>_xlfn.XLOOKUP(orders!C987,customers!$A$1:$A$1001,customers!$B$1:$B$1001,,0)</f>
        <v>Koressa O'Geneay</v>
      </c>
      <c r="G987" s="2" t="str">
        <f>IF(_xlfn.XLOOKUP(orders!C987,customers!$A$1:$A$1001,customers!$C$1:$C$1001,,0)=0,"",_xlfn.XLOOKUP(orders!C987,customers!$A$1:$A$1001,customers!$C$1:$C$1001,,0))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6">
        <f t="shared" si="45"/>
        <v>47.8</v>
      </c>
      <c r="N987" t="str">
        <f t="shared" si="46"/>
        <v>Robusta</v>
      </c>
      <c r="O987"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f>_xlfn.XLOOKUP(orders!C988,customers!$A$1:$A$1001,customers!$B$1:$B$1001,,0)</f>
        <v>Claudell Ayre</v>
      </c>
      <c r="G988" s="2" t="str">
        <f>IF(_xlfn.XLOOKUP(orders!C988,customers!$A$1:$A$1001,customers!$C$1:$C$1001,,0)=0,"",_xlfn.XLOOKUP(orders!C988,customers!$A$1:$A$1001,customers!$C$1:$C$1001,,0))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6">
        <f t="shared" si="45"/>
        <v>33.464999999999996</v>
      </c>
      <c r="N988" t="str">
        <f t="shared" si="46"/>
        <v>Liberica</v>
      </c>
      <c r="O988"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f>_xlfn.XLOOKUP(orders!C989,customers!$A$1:$A$1001,customers!$B$1:$B$1001,,0)</f>
        <v>Lorianne Kyneton</v>
      </c>
      <c r="G989" s="2" t="str">
        <f>IF(_xlfn.XLOOKUP(orders!C989,customers!$A$1:$A$1001,customers!$C$1:$C$1001,,0)=0,"",_xlfn.XLOOKUP(orders!C989,customers!$A$1:$A$1001,customers!$C$1:$C$1001,,0))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6">
        <f t="shared" si="45"/>
        <v>29.849999999999998</v>
      </c>
      <c r="N989" t="str">
        <f t="shared" si="46"/>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_xlfn.XLOOKUP(orders!C990,customers!$A$1:$A$1001,customers!$B$1:$B$1001,,0)</f>
        <v>Adele McFayden</v>
      </c>
      <c r="G990" s="2" t="str">
        <f>IF(_xlfn.XLOOKUP(orders!C990,customers!$A$1:$A$1001,customers!$C$1:$C$1001,,0)=0,"",_xlfn.XLOOKUP(orders!C990,customers!$A$1:$A$1001,customers!$C$1:$C$1001,,0))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6">
        <f t="shared" si="45"/>
        <v>29.849999999999998</v>
      </c>
      <c r="N990" t="str">
        <f t="shared" si="46"/>
        <v>Robusta</v>
      </c>
      <c r="O990"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f>_xlfn.XLOOKUP(orders!C991,customers!$A$1:$A$1001,customers!$B$1:$B$1001,,0)</f>
        <v>Herta Layne</v>
      </c>
      <c r="G991" s="2" t="str">
        <f>IF(_xlfn.XLOOKUP(orders!C991,customers!$A$1:$A$1001,customers!$C$1:$C$1001,,0)=0,"",_xlfn.XLOOKUP(orders!C991,customers!$A$1:$A$1001,customers!$C$1:$C$1001,,0))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6">
        <f t="shared" si="45"/>
        <v>155.24999999999997</v>
      </c>
      <c r="N991" t="str">
        <f t="shared" si="46"/>
        <v>Arabica</v>
      </c>
      <c r="O991"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f>_xlfn.XLOOKUP(orders!C992,customers!$A$1:$A$1001,customers!$B$1:$B$1001,,0)</f>
        <v>Marguerite Graves</v>
      </c>
      <c r="G992" s="2" t="str">
        <f>IF(_xlfn.XLOOKUP(orders!C992,customers!$A$1:$A$1001,customers!$C$1:$C$1001,,0)=0,"",_xlfn.XLOOKUP(orders!C992,customers!$A$1:$A$1001,customers!$C$1:$C$1001,,0))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6">
        <f t="shared" si="45"/>
        <v>18.225000000000001</v>
      </c>
      <c r="N992" t="str">
        <f t="shared" si="46"/>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_xlfn.XLOOKUP(orders!C993,customers!$A$1:$A$1001,customers!$B$1:$B$1001,,0)</f>
        <v>Marguerite Graves</v>
      </c>
      <c r="G993" s="2" t="str">
        <f>IF(_xlfn.XLOOKUP(orders!C993,customers!$A$1:$A$1001,customers!$C$1:$C$1001,,0)=0,"",_xlfn.XLOOKUP(orders!C993,customers!$A$1:$A$1001,customers!$C$1:$C$1001,,0))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6">
        <f t="shared" si="45"/>
        <v>15.54</v>
      </c>
      <c r="N993" t="str">
        <f t="shared" si="46"/>
        <v>Liberica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_xlfn.XLOOKUP(orders!C994,customers!$A$1:$A$1001,customers!$B$1:$B$1001,,0)</f>
        <v>Desdemona Eye</v>
      </c>
      <c r="G994" s="2" t="str">
        <f>IF(_xlfn.XLOOKUP(orders!C994,customers!$A$1:$A$1001,customers!$C$1:$C$1001,,0)=0,"",_xlfn.XLOOKUP(orders!C994,customers!$A$1:$A$1001,customers!$C$1:$C$1001,,0))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6">
        <f t="shared" si="45"/>
        <v>109.36499999999999</v>
      </c>
      <c r="N994" t="str">
        <f t="shared" si="46"/>
        <v>Liberica</v>
      </c>
      <c r="O994"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f>_xlfn.XLOOKUP(orders!C995,customers!$A$1:$A$1001,customers!$B$1:$B$1001,,0)</f>
        <v>Margarette Sterland</v>
      </c>
      <c r="G995" s="2" t="str">
        <f>IF(_xlfn.XLOOKUP(orders!C995,customers!$A$1:$A$1001,customers!$C$1:$C$1001,,0)=0,"",_xlfn.XLOOKUP(orders!C995,customers!$A$1:$A$1001,customers!$C$1:$C$1001,,0))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6">
        <f t="shared" si="45"/>
        <v>77.699999999999989</v>
      </c>
      <c r="N995" t="str">
        <f t="shared" si="46"/>
        <v>Arabica</v>
      </c>
      <c r="O995"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f>_xlfn.XLOOKUP(orders!C996,customers!$A$1:$A$1001,customers!$B$1:$B$1001,,0)</f>
        <v>Catharine Scoines</v>
      </c>
      <c r="G996" s="2" t="str">
        <f>IF(_xlfn.XLOOKUP(orders!C996,customers!$A$1:$A$1001,customers!$C$1:$C$1001,,0)=0,"",_xlfn.XLOOKUP(orders!C996,customers!$A$1:$A$1001,customers!$C$1:$C$1001,,0))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6">
        <f t="shared" si="45"/>
        <v>8.9550000000000001</v>
      </c>
      <c r="N996" t="str">
        <f t="shared" si="46"/>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_xlfn.XLOOKUP(orders!C997,customers!$A$1:$A$1001,customers!$B$1:$B$1001,,0)</f>
        <v>Jennica Tewelson</v>
      </c>
      <c r="G997" s="2" t="str">
        <f>IF(_xlfn.XLOOKUP(orders!C997,customers!$A$1:$A$1001,customers!$C$1:$C$1001,,0)=0,"",_xlfn.XLOOKUP(orders!C997,customers!$A$1:$A$1001,customers!$C$1:$C$1001,,0))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6">
        <f t="shared" si="45"/>
        <v>27.484999999999996</v>
      </c>
      <c r="N997" t="str">
        <f t="shared" si="46"/>
        <v>Robusta</v>
      </c>
      <c r="O997"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f>_xlfn.XLOOKUP(orders!C998,customers!$A$1:$A$1001,customers!$B$1:$B$1001,,0)</f>
        <v>Marguerite Graves</v>
      </c>
      <c r="G998" s="2" t="str">
        <f>IF(_xlfn.XLOOKUP(orders!C998,customers!$A$1:$A$1001,customers!$C$1:$C$1001,,0)=0,"",_xlfn.XLOOKUP(orders!C998,customers!$A$1:$A$1001,customers!$C$1:$C$1001,,0))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6">
        <f t="shared" si="45"/>
        <v>29.849999999999998</v>
      </c>
      <c r="N998" t="str">
        <f t="shared" si="46"/>
        <v>Robusta</v>
      </c>
      <c r="O998"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f>_xlfn.XLOOKUP(orders!C999,customers!$A$1:$A$1001,customers!$B$1:$B$1001,,0)</f>
        <v>Marguerite Graves</v>
      </c>
      <c r="G999" s="2" t="str">
        <f>IF(_xlfn.XLOOKUP(orders!C999,customers!$A$1:$A$1001,customers!$C$1:$C$1001,,0)=0,"",_xlfn.XLOOKUP(orders!C999,customers!$A$1:$A$1001,customers!$C$1:$C$1001,,0))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6">
        <f t="shared" si="45"/>
        <v>27</v>
      </c>
      <c r="N999" t="str">
        <f t="shared" si="46"/>
        <v>Arabica</v>
      </c>
      <c r="O999"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_xlfn.XLOOKUP(orders!C1000,customers!$A$1:$A$1001,customers!$B$1:$B$1001,,0)</f>
        <v>Nicolina Jenny</v>
      </c>
      <c r="G1000" s="2" t="str">
        <f>IF(_xlfn.XLOOKUP(orders!C1000,customers!$A$1:$A$1001,customers!$C$1:$C$1001,,0)=0,"",_xlfn.XLOOKUP(orders!C1000,customers!$A$1:$A$1001,customers!$C$1:$C$1001,,0))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6">
        <f t="shared" si="45"/>
        <v>9.9499999999999993</v>
      </c>
      <c r="N1000" t="str">
        <f t="shared" si="46"/>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_xlfn.XLOOKUP(orders!C1001,customers!$A$1:$A$1001,customers!$B$1:$B$1001,,0)</f>
        <v>Vidovic Antonelli</v>
      </c>
      <c r="G1001" s="2" t="str">
        <f>IF(_xlfn.XLOOKUP(orders!C1001,customers!$A$1:$A$1001,customers!$C$1:$C$1001,,0)=0,"",_xlfn.XLOOKUP(orders!C1001,customers!$A$1:$A$1001,customers!$C$1:$C$1001,,0))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6">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B49" sqref="B49"/>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C2" sqref="C2"/>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Detail1</vt:lpstr>
      <vt:lpstr>Detail2</vt:lpstr>
      <vt:lpstr>Detail3</vt:lpstr>
      <vt:lpstr>Dashboard</vt:lpstr>
      <vt:lpstr>TotalSales</vt:lpstr>
      <vt:lpstr>CountryBar 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Administrator</dc:creator>
  <cp:keywords/>
  <dc:description/>
  <cp:lastModifiedBy>Administrator</cp:lastModifiedBy>
  <cp:revision/>
  <dcterms:created xsi:type="dcterms:W3CDTF">2022-11-26T09:51:45Z</dcterms:created>
  <dcterms:modified xsi:type="dcterms:W3CDTF">2026-09-16T11:42:57Z</dcterms:modified>
  <cp:category/>
  <cp:contentStatus/>
</cp:coreProperties>
</file>